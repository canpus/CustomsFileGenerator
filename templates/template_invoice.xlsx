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CodingPrograms\CustomsDocGenerator\v1\config\templates\"/>
    </mc:Choice>
  </mc:AlternateContent>
  <xr:revisionPtr revIDLastSave="0" documentId="13_ncr:1_{DC0FE106-CB97-43BC-8782-7EF974E32599}" xr6:coauthVersionLast="47" xr6:coauthVersionMax="47" xr10:uidLastSave="{00000000-0000-0000-0000-000000000000}"/>
  <bookViews>
    <workbookView xWindow="-110" yWindow="-110" windowWidth="29020" windowHeight="17500" xr2:uid="{53FA4EF0-9753-4173-BE66-16822866184D}"/>
  </bookViews>
  <sheets>
    <sheet name="Sheet3" sheetId="3" r:id="rId1"/>
    <sheet name="Sheet1" sheetId="4" r:id="rId2"/>
  </sheets>
  <definedNames>
    <definedName name="_xlnm.Print_Area" localSheetId="0">Sheet3!$A$1:$F$77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3" l="1"/>
  <c r="D1" i="4"/>
  <c r="E1" i="4"/>
  <c r="F1" i="4"/>
  <c r="D2" i="4"/>
  <c r="E2" i="4"/>
  <c r="F2" i="4"/>
  <c r="C4" i="4"/>
  <c r="D4" i="4"/>
  <c r="E4" i="4"/>
  <c r="H4" i="4"/>
  <c r="G4" i="4"/>
  <c r="C5" i="4"/>
  <c r="D5" i="4"/>
  <c r="E5" i="4"/>
  <c r="H5" i="4"/>
  <c r="G5" i="4"/>
  <c r="C6" i="4"/>
  <c r="D6" i="4"/>
  <c r="E6" i="4"/>
  <c r="H6" i="4"/>
  <c r="G6" i="4"/>
  <c r="C9" i="4"/>
  <c r="D9" i="4"/>
  <c r="E9" i="4"/>
  <c r="H9" i="4"/>
  <c r="G9" i="4"/>
  <c r="B13" i="4"/>
  <c r="C13" i="4"/>
  <c r="D13" i="4"/>
  <c r="B15" i="4"/>
  <c r="C15" i="4"/>
  <c r="D15" i="4"/>
  <c r="G15" i="4"/>
  <c r="H15" i="4"/>
  <c r="K24" i="4"/>
  <c r="L24" i="4"/>
  <c r="N24" i="4"/>
</calcChain>
</file>

<file path=xl/sharedStrings.xml><?xml version="1.0" encoding="utf-8"?>
<sst xmlns="http://schemas.openxmlformats.org/spreadsheetml/2006/main" count="40" uniqueCount="38">
  <si>
    <r>
      <t xml:space="preserve">          </t>
    </r>
    <r>
      <rPr>
        <b/>
        <sz val="20"/>
        <rFont val="华文仿宋"/>
      </rPr>
      <t>长园长通新材料股份有限公司 
 CYG Changtong New Material Co., Ltd.</t>
    </r>
    <r>
      <rPr>
        <sz val="11"/>
        <rFont val="宋体"/>
      </rPr>
      <t xml:space="preserve">
</t>
    </r>
    <r>
      <rPr>
        <sz val="11"/>
        <rFont val="Times New Roman"/>
        <family val="1"/>
      </rPr>
      <t xml:space="preserve">    Add:  No. 707, Block A, Building 1, Yunzhi Technology Park, South Side of Shuangming Avenue, Dongzhou Community, Guangming Street, Guangming District, Shenzhen.</t>
    </r>
  </si>
  <si>
    <t xml:space="preserve"> 发 票 Invoice    </t>
  </si>
  <si>
    <t xml:space="preserve">Tel.: +86-0755-27402252  </t>
  </si>
  <si>
    <t>Fax：+86-0755-26953402</t>
  </si>
  <si>
    <t>Post Code: 518107</t>
  </si>
  <si>
    <t>Date: April.08th, 2026</t>
  </si>
  <si>
    <r>
      <rPr>
        <b/>
        <sz val="16"/>
        <rFont val="宋体"/>
      </rPr>
      <t>发票号</t>
    </r>
    <r>
      <rPr>
        <b/>
        <sz val="16"/>
        <rFont val="Times New Roman"/>
        <family val="1"/>
      </rPr>
      <t xml:space="preserve">  Invoice No.</t>
    </r>
  </si>
  <si>
    <t>货品名称 Invoice of</t>
  </si>
  <si>
    <r>
      <rPr>
        <b/>
        <sz val="16"/>
        <rFont val="宋体"/>
      </rPr>
      <t>抬头人</t>
    </r>
    <r>
      <rPr>
        <b/>
        <sz val="16"/>
        <rFont val="Times New Roman"/>
        <family val="1"/>
      </rPr>
      <t xml:space="preserve"> For account of messrs</t>
    </r>
  </si>
  <si>
    <r>
      <rPr>
        <b/>
        <sz val="16"/>
        <rFont val="宋体"/>
      </rPr>
      <t>地址</t>
    </r>
    <r>
      <rPr>
        <b/>
        <sz val="16"/>
        <rFont val="Times New Roman"/>
        <family val="1"/>
      </rPr>
      <t>Add</t>
    </r>
  </si>
  <si>
    <r>
      <rPr>
        <b/>
        <sz val="16"/>
        <rFont val="宋体"/>
      </rPr>
      <t>联系人</t>
    </r>
    <r>
      <rPr>
        <b/>
        <sz val="16"/>
        <rFont val="Times New Roman"/>
        <family val="1"/>
      </rPr>
      <t xml:space="preserve"> Contact</t>
    </r>
  </si>
  <si>
    <r>
      <rPr>
        <b/>
        <sz val="16"/>
        <rFont val="宋体"/>
      </rPr>
      <t>电话</t>
    </r>
    <r>
      <rPr>
        <b/>
        <sz val="16"/>
        <rFont val="Times New Roman"/>
        <family val="1"/>
      </rPr>
      <t xml:space="preserve"> Tel</t>
    </r>
    <r>
      <rPr>
        <b/>
        <sz val="16"/>
        <rFont val="宋体"/>
      </rPr>
      <t>：</t>
    </r>
  </si>
  <si>
    <r>
      <rPr>
        <b/>
        <sz val="16"/>
        <rFont val="宋体"/>
      </rPr>
      <t>装运港</t>
    </r>
    <r>
      <rPr>
        <b/>
        <sz val="16"/>
        <rFont val="Times New Roman"/>
        <family val="1"/>
      </rPr>
      <t xml:space="preserve"> From</t>
    </r>
  </si>
  <si>
    <t>Mobile No.</t>
  </si>
  <si>
    <r>
      <t>合同号码</t>
    </r>
    <r>
      <rPr>
        <b/>
        <sz val="16"/>
        <rFont val="Times New Roman"/>
        <family val="1"/>
      </rPr>
      <t xml:space="preserve"> Contract No.</t>
    </r>
  </si>
  <si>
    <r>
      <rPr>
        <b/>
        <sz val="16"/>
        <rFont val="宋体"/>
      </rPr>
      <t>卸货港</t>
    </r>
    <r>
      <rPr>
        <b/>
        <sz val="16"/>
        <rFont val="Times New Roman"/>
        <family val="1"/>
      </rPr>
      <t xml:space="preserve"> To</t>
    </r>
  </si>
  <si>
    <t>450mm*2.4mm*30m</t>
  </si>
  <si>
    <t>Roll</t>
  </si>
  <si>
    <t>Total</t>
  </si>
  <si>
    <r>
      <t>Say: USD FIFTY FOUR THOUSAND SEVENTY SIX POINT SIXTY FIVE O</t>
    </r>
    <r>
      <rPr>
        <b/>
        <sz val="16"/>
        <rFont val="Times New Roman"/>
        <family val="1"/>
      </rPr>
      <t>NLY</t>
    </r>
  </si>
  <si>
    <r>
      <t>Remarks</t>
    </r>
    <r>
      <rPr>
        <sz val="16"/>
        <rFont val="宋体"/>
      </rPr>
      <t>：</t>
    </r>
  </si>
  <si>
    <t xml:space="preserve">1. Width: Before Shrinking Width. </t>
  </si>
  <si>
    <t>2.PAYMENT: 30% T/T in advance and Balance BEFORE DELIVERY.</t>
  </si>
  <si>
    <t>NOTE: ANY CHARGE OUT OF BORDERS WILL BE PAID BY BUYER.</t>
  </si>
  <si>
    <t>Beneficiary:  CYG CHANGTONG NEW MATERIAL CO., LTD
Account No:  41-003200040003025 
SWIFT:      ABOCCNBJ410 
Bank name: Agricultural Bank of China Shenzhen Branch 
Bank Address: 3/F, Hang Tang Building, Overseas Chinese Town, Shenzhen China.</t>
  </si>
  <si>
    <r>
      <t xml:space="preserve">长园长通新材料股份有限公司  </t>
    </r>
    <r>
      <rPr>
        <sz val="12"/>
        <rFont val="宋体"/>
      </rPr>
      <t xml:space="preserve">
</t>
    </r>
    <r>
      <rPr>
        <b/>
        <sz val="12"/>
        <rFont val="宋体"/>
      </rPr>
      <t>CYG CHANGTONG NEW MATERIAL CO., LTD</t>
    </r>
    <r>
      <rPr>
        <sz val="12"/>
        <rFont val="宋体"/>
      </rPr>
      <t xml:space="preserve">   
授权签章                         
              Authorized Signature(s)
</t>
    </r>
  </si>
  <si>
    <t>80C</t>
  </si>
  <si>
    <t>500mm*2.2mm*30M</t>
  </si>
  <si>
    <t>500mm*2.5mm*30M</t>
  </si>
  <si>
    <r>
      <t>2</t>
    </r>
    <r>
      <rPr>
        <sz val="14"/>
        <rFont val="宋体"/>
      </rPr>
      <t>19*550*2.2mm</t>
    </r>
  </si>
  <si>
    <r>
      <t>4</t>
    </r>
    <r>
      <rPr>
        <sz val="14"/>
        <rFont val="宋体"/>
      </rPr>
      <t>06*550*2.5mm</t>
    </r>
  </si>
  <si>
    <t>406*550*3.0mm</t>
  </si>
  <si>
    <t>单价
(USD/PC)</t>
    <phoneticPr fontId="16" type="noConversion"/>
  </si>
  <si>
    <t>产品
Product</t>
    <phoneticPr fontId="16" type="noConversion"/>
  </si>
  <si>
    <t>规格
Specification</t>
    <phoneticPr fontId="16" type="noConversion"/>
  </si>
  <si>
    <t>单位
Unit</t>
    <phoneticPr fontId="16" type="noConversion"/>
  </si>
  <si>
    <t>数量(PCS)
Qty./ Pcs</t>
    <phoneticPr fontId="16" type="noConversion"/>
  </si>
  <si>
    <t>金额 USD
Amount / USD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</si>
</sst>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name val="宋体"/>
      <charset val="134"/>
    </font>
    <font>
      <sz val="14"/>
      <name val="宋体"/>
    </font>
    <font>
      <sz val="14"/>
      <name val="Times New Roman"/>
      <family val="1"/>
    </font>
    <font>
      <b/>
      <sz val="26"/>
      <name val="宋体"/>
    </font>
    <font>
      <b/>
      <sz val="14"/>
      <name val="宋体"/>
    </font>
    <font>
      <b/>
      <sz val="16"/>
      <name val="Times New Roman"/>
      <family val="1"/>
    </font>
    <font>
      <b/>
      <sz val="16"/>
      <name val="宋体"/>
    </font>
    <font>
      <b/>
      <sz val="14"/>
      <name val="Times New Roman"/>
      <family val="1"/>
    </font>
    <font>
      <sz val="16"/>
      <name val="Times New Roman"/>
      <family val="1"/>
    </font>
    <font>
      <sz val="16"/>
      <name val="宋体"/>
    </font>
    <font>
      <b/>
      <sz val="12"/>
      <name val="Arial"/>
      <family val="2"/>
    </font>
    <font>
      <b/>
      <sz val="12"/>
      <name val="宋体"/>
    </font>
    <font>
      <b/>
      <sz val="18"/>
      <name val="宋体"/>
    </font>
    <font>
      <b/>
      <sz val="20"/>
      <name val="华文仿宋"/>
    </font>
    <font>
      <sz val="11"/>
      <name val="宋体"/>
    </font>
    <font>
      <sz val="11"/>
      <name val="Times New Roman"/>
      <family val="1"/>
    </font>
    <font>
      <sz val="9"/>
      <name val="宋体"/>
    </font>
    <font>
      <sz val="9"/>
      <color rgb="FF000000"/>
      <name val="Times"/>
      <family val="1"/>
    </font>
    <font>
      <sz val="12"/>
      <name val="宋体"/>
    </font>
    <font>
      <b/>
      <sz val="16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3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68</xdr:row>
      <xdr:rowOff>127000</xdr:rowOff>
    </xdr:from>
    <xdr:to>
      <xdr:col>0</xdr:col>
      <xdr:colOff>0</xdr:colOff>
      <xdr:row>68</xdr:row>
      <xdr:rowOff>127000</xdr:rowOff>
    </xdr:to>
    <xdr:sp macro="" textlink="">
      <xdr:nvSpPr>
        <xdr:cNvPr id="2723" name="Line 12">
          <a:extLst>
            <a:ext uri="{FF2B5EF4-FFF2-40B4-BE49-F238E27FC236}">
              <a16:creationId xmlns:a16="http://schemas.microsoft.com/office/drawing/2014/main" id="{E4EE839F-0A41-3FD1-4CA8-B68194F1F251}"/>
            </a:ext>
          </a:extLst>
        </xdr:cNvPr>
        <xdr:cNvSpPr>
          <a:spLocks noChangeShapeType="1"/>
        </xdr:cNvSpPr>
      </xdr:nvSpPr>
      <xdr:spPr bwMode="auto">
        <a:xfrm>
          <a:off x="0" y="125222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317500</xdr:colOff>
      <xdr:row>0</xdr:row>
      <xdr:rowOff>31750</xdr:rowOff>
    </xdr:from>
    <xdr:to>
      <xdr:col>0</xdr:col>
      <xdr:colOff>1555750</xdr:colOff>
      <xdr:row>0</xdr:row>
      <xdr:rowOff>450850</xdr:rowOff>
    </xdr:to>
    <xdr:pic>
      <xdr:nvPicPr>
        <xdr:cNvPr id="2724" name="图片 5">
          <a:extLst>
            <a:ext uri="{FF2B5EF4-FFF2-40B4-BE49-F238E27FC236}">
              <a16:creationId xmlns:a16="http://schemas.microsoft.com/office/drawing/2014/main" id="{BD978778-23F1-EFB2-965C-B937810BD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" y="31750"/>
          <a:ext cx="12382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482600</xdr:colOff>
      <xdr:row>5</xdr:row>
      <xdr:rowOff>273050</xdr:rowOff>
    </xdr:from>
    <xdr:to>
      <xdr:col>20</xdr:col>
      <xdr:colOff>266700</xdr:colOff>
      <xdr:row>17</xdr:row>
      <xdr:rowOff>38100</xdr:rowOff>
    </xdr:to>
    <xdr:pic>
      <xdr:nvPicPr>
        <xdr:cNvPr id="6232" name="图片 1">
          <a:extLst>
            <a:ext uri="{FF2B5EF4-FFF2-40B4-BE49-F238E27FC236}">
              <a16:creationId xmlns:a16="http://schemas.microsoft.com/office/drawing/2014/main" id="{B6824CB6-1E7F-7164-D554-A2156C71C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2600" y="2178050"/>
          <a:ext cx="6451600" cy="334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5ED10-9C16-40ED-99F3-4576BC377ABA}">
  <dimension ref="A1:J77"/>
  <sheetViews>
    <sheetView tabSelected="1" zoomScale="85" zoomScaleNormal="85" workbookViewId="0">
      <selection activeCell="B9" sqref="B9:F9"/>
    </sheetView>
  </sheetViews>
  <sheetFormatPr defaultColWidth="8.75" defaultRowHeight="15" x14ac:dyDescent="0.25"/>
  <cols>
    <col min="1" max="1" width="34.75" style="8" customWidth="1"/>
    <col min="2" max="2" width="25.58203125" style="8" customWidth="1"/>
    <col min="3" max="3" width="11.33203125" style="8" customWidth="1"/>
    <col min="4" max="4" width="16.75" style="8" customWidth="1"/>
    <col min="5" max="5" width="15" style="8" customWidth="1"/>
    <col min="6" max="6" width="19.33203125" style="8" customWidth="1"/>
    <col min="7" max="8" width="8.75" style="8"/>
    <col min="9" max="9" width="12.58203125" style="8" bestFit="1" customWidth="1"/>
    <col min="10" max="16384" width="8.75" style="8"/>
  </cols>
  <sheetData>
    <row r="1" spans="1:6" ht="57.75" customHeight="1" x14ac:dyDescent="0.25">
      <c r="A1" s="31" t="s">
        <v>0</v>
      </c>
      <c r="B1" s="32"/>
      <c r="C1" s="32"/>
      <c r="D1" s="32"/>
      <c r="E1" s="32"/>
      <c r="F1" s="33"/>
    </row>
    <row r="2" spans="1:6" ht="36.5" customHeight="1" x14ac:dyDescent="0.25">
      <c r="A2" s="34"/>
      <c r="B2" s="35"/>
      <c r="C2" s="35"/>
      <c r="D2" s="35"/>
      <c r="E2" s="35"/>
      <c r="F2" s="36"/>
    </row>
    <row r="3" spans="1:6" ht="22.5" customHeight="1" x14ac:dyDescent="0.25">
      <c r="A3" s="37" t="s">
        <v>1</v>
      </c>
      <c r="B3" s="38"/>
      <c r="C3" s="4"/>
      <c r="D3" s="53" t="s">
        <v>2</v>
      </c>
      <c r="E3" s="54"/>
      <c r="F3" s="55"/>
    </row>
    <row r="4" spans="1:6" ht="17.25" customHeight="1" x14ac:dyDescent="0.25">
      <c r="A4" s="39"/>
      <c r="B4" s="38"/>
      <c r="C4" s="5"/>
      <c r="D4" s="56" t="s">
        <v>3</v>
      </c>
      <c r="E4" s="57"/>
      <c r="F4" s="58"/>
    </row>
    <row r="5" spans="1:6" ht="17.25" customHeight="1" x14ac:dyDescent="0.25">
      <c r="A5" s="39"/>
      <c r="B5" s="38"/>
      <c r="C5" s="5"/>
      <c r="D5" s="56" t="s">
        <v>4</v>
      </c>
      <c r="E5" s="57"/>
      <c r="F5" s="58"/>
    </row>
    <row r="6" spans="1:6" ht="19.5" customHeight="1" x14ac:dyDescent="0.25">
      <c r="A6" s="39"/>
      <c r="B6" s="38"/>
      <c r="C6" s="6"/>
      <c r="D6" s="25" t="s">
        <v>5</v>
      </c>
      <c r="E6" s="26"/>
      <c r="F6" s="27"/>
    </row>
    <row r="7" spans="1:6" ht="27.75" customHeight="1" x14ac:dyDescent="0.25">
      <c r="A7" s="9" t="s">
        <v>6</v>
      </c>
      <c r="B7" s="28"/>
      <c r="C7" s="28"/>
      <c r="D7" s="28"/>
      <c r="E7" s="28"/>
      <c r="F7" s="29"/>
    </row>
    <row r="8" spans="1:6" ht="27" customHeight="1" x14ac:dyDescent="0.25">
      <c r="A8" s="11" t="s">
        <v>7</v>
      </c>
      <c r="B8" s="28"/>
      <c r="C8" s="28"/>
      <c r="D8" s="28"/>
      <c r="E8" s="28"/>
      <c r="F8" s="29"/>
    </row>
    <row r="9" spans="1:6" ht="42" customHeight="1" x14ac:dyDescent="0.25">
      <c r="A9" s="9" t="s">
        <v>8</v>
      </c>
      <c r="B9" s="28"/>
      <c r="C9" s="28"/>
      <c r="D9" s="28"/>
      <c r="E9" s="28"/>
      <c r="F9" s="29"/>
    </row>
    <row r="10" spans="1:6" ht="40.5" customHeight="1" x14ac:dyDescent="0.25">
      <c r="A10" s="9" t="s">
        <v>9</v>
      </c>
      <c r="B10" s="28"/>
      <c r="C10" s="28"/>
      <c r="D10" s="28"/>
      <c r="E10" s="28"/>
      <c r="F10" s="29"/>
    </row>
    <row r="11" spans="1:6" ht="28.5" customHeight="1" x14ac:dyDescent="0.25">
      <c r="A11" s="9" t="s">
        <v>10</v>
      </c>
      <c r="B11" s="10"/>
      <c r="C11" s="10"/>
      <c r="D11" s="12" t="s">
        <v>11</v>
      </c>
      <c r="E11" s="44"/>
      <c r="F11" s="45"/>
    </row>
    <row r="12" spans="1:6" ht="25.5" customHeight="1" x14ac:dyDescent="0.25">
      <c r="A12" s="9" t="s">
        <v>12</v>
      </c>
      <c r="B12" s="13"/>
      <c r="C12" s="13"/>
      <c r="D12" s="12" t="s">
        <v>13</v>
      </c>
      <c r="E12" s="46"/>
      <c r="F12" s="47"/>
    </row>
    <row r="13" spans="1:6" ht="35.15" customHeight="1" thickBot="1" x14ac:dyDescent="0.3">
      <c r="A13" s="14" t="s">
        <v>14</v>
      </c>
      <c r="B13" s="15"/>
      <c r="C13" s="16"/>
      <c r="D13" s="17" t="s">
        <v>15</v>
      </c>
      <c r="E13" s="48"/>
      <c r="F13" s="49"/>
    </row>
    <row r="14" spans="1:6" ht="52.5" customHeight="1" thickBot="1" x14ac:dyDescent="0.3">
      <c r="A14" s="24" t="s">
        <v>33</v>
      </c>
      <c r="B14" s="24" t="s">
        <v>34</v>
      </c>
      <c r="C14" s="24" t="s">
        <v>35</v>
      </c>
      <c r="D14" s="24" t="s">
        <v>36</v>
      </c>
      <c r="E14" s="24" t="s">
        <v>32</v>
      </c>
      <c r="F14" s="24" t="s">
        <v>37</v>
      </c>
    </row>
    <row r="15" spans="1:6" ht="52.5" customHeight="1" thickBot="1" x14ac:dyDescent="0.3">
      <c r="A15" s="24"/>
      <c r="B15" s="24"/>
      <c r="C15" s="24"/>
      <c r="D15" s="24"/>
      <c r="E15" s="24"/>
      <c r="F15" s="24"/>
    </row>
    <row r="16" spans="1:6" ht="52.5" customHeight="1" thickBot="1" x14ac:dyDescent="0.3">
      <c r="A16" s="24"/>
      <c r="B16" s="24"/>
      <c r="C16" s="24"/>
      <c r="D16" s="24"/>
      <c r="E16" s="24"/>
      <c r="F16" s="24"/>
    </row>
    <row r="17" spans="1:6" ht="52.5" customHeight="1" thickBot="1" x14ac:dyDescent="0.3">
      <c r="A17" s="24"/>
      <c r="B17" s="24"/>
      <c r="C17" s="24"/>
      <c r="D17" s="24"/>
      <c r="E17" s="24"/>
      <c r="F17" s="24"/>
    </row>
    <row r="18" spans="1:6" ht="52.5" customHeight="1" thickBot="1" x14ac:dyDescent="0.3">
      <c r="A18" s="24"/>
      <c r="B18" s="24"/>
      <c r="C18" s="24"/>
      <c r="D18" s="24"/>
      <c r="E18" s="24"/>
      <c r="F18" s="24"/>
    </row>
    <row r="19" spans="1:6" ht="52.5" customHeight="1" thickBot="1" x14ac:dyDescent="0.3">
      <c r="A19" s="24"/>
      <c r="B19" s="24"/>
      <c r="C19" s="24"/>
      <c r="D19" s="24"/>
      <c r="E19" s="24"/>
      <c r="F19" s="24"/>
    </row>
    <row r="20" spans="1:6" ht="52.5" customHeight="1" thickBot="1" x14ac:dyDescent="0.3">
      <c r="A20" s="24"/>
      <c r="B20" s="24"/>
      <c r="C20" s="24"/>
      <c r="D20" s="24"/>
      <c r="E20" s="24"/>
      <c r="F20" s="24"/>
    </row>
    <row r="21" spans="1:6" ht="52.5" customHeight="1" thickBot="1" x14ac:dyDescent="0.3">
      <c r="A21" s="24"/>
      <c r="B21" s="24"/>
      <c r="C21" s="24"/>
      <c r="D21" s="24"/>
      <c r="E21" s="24"/>
      <c r="F21" s="24"/>
    </row>
    <row r="22" spans="1:6" ht="52.5" customHeight="1" thickBot="1" x14ac:dyDescent="0.3">
      <c r="A22" s="24"/>
      <c r="B22" s="24"/>
      <c r="C22" s="24"/>
      <c r="D22" s="24"/>
      <c r="E22" s="24"/>
      <c r="F22" s="24"/>
    </row>
    <row r="23" spans="1:6" ht="52.5" customHeight="1" thickBot="1" x14ac:dyDescent="0.3">
      <c r="A23" s="24"/>
      <c r="B23" s="24"/>
      <c r="C23" s="24"/>
      <c r="D23" s="24"/>
      <c r="E23" s="24"/>
      <c r="F23" s="24"/>
    </row>
    <row r="24" spans="1:6" ht="52.5" customHeight="1" thickBot="1" x14ac:dyDescent="0.3">
      <c r="A24" s="24"/>
      <c r="B24" s="24"/>
      <c r="C24" s="24"/>
      <c r="D24" s="24"/>
      <c r="E24" s="24"/>
      <c r="F24" s="24"/>
    </row>
    <row r="25" spans="1:6" ht="52.5" customHeight="1" thickBot="1" x14ac:dyDescent="0.3">
      <c r="A25" s="24"/>
      <c r="B25" s="24"/>
      <c r="C25" s="24"/>
      <c r="D25" s="24"/>
      <c r="E25" s="24"/>
      <c r="F25" s="24"/>
    </row>
    <row r="26" spans="1:6" ht="52.5" customHeight="1" thickBot="1" x14ac:dyDescent="0.3">
      <c r="A26" s="24"/>
      <c r="B26" s="24"/>
      <c r="C26" s="24"/>
      <c r="D26" s="24"/>
      <c r="E26" s="24"/>
      <c r="F26" s="24"/>
    </row>
    <row r="27" spans="1:6" ht="52.5" customHeight="1" thickBot="1" x14ac:dyDescent="0.3">
      <c r="A27" s="24"/>
      <c r="B27" s="24"/>
      <c r="C27" s="24"/>
      <c r="D27" s="24"/>
      <c r="E27" s="24"/>
      <c r="F27" s="24"/>
    </row>
    <row r="28" spans="1:6" ht="52.5" customHeight="1" thickBot="1" x14ac:dyDescent="0.3">
      <c r="A28" s="24"/>
      <c r="B28" s="24"/>
      <c r="C28" s="24"/>
      <c r="D28" s="24"/>
      <c r="E28" s="24"/>
      <c r="F28" s="24"/>
    </row>
    <row r="29" spans="1:6" ht="52.5" customHeight="1" thickBot="1" x14ac:dyDescent="0.3">
      <c r="A29" s="24"/>
      <c r="B29" s="24"/>
      <c r="C29" s="24"/>
      <c r="D29" s="24"/>
      <c r="E29" s="24"/>
      <c r="F29" s="24"/>
    </row>
    <row r="30" spans="1:6" ht="52.5" customHeight="1" thickBot="1" x14ac:dyDescent="0.3">
      <c r="A30" s="24"/>
      <c r="B30" s="24"/>
      <c r="C30" s="24"/>
      <c r="D30" s="24"/>
      <c r="E30" s="24"/>
      <c r="F30" s="24"/>
    </row>
    <row r="31" spans="1:6" ht="52.5" customHeight="1" thickBot="1" x14ac:dyDescent="0.3">
      <c r="A31" s="24"/>
      <c r="B31" s="24"/>
      <c r="C31" s="24"/>
      <c r="D31" s="24"/>
      <c r="E31" s="24"/>
      <c r="F31" s="24"/>
    </row>
    <row r="32" spans="1:6" ht="52.5" customHeight="1" thickBot="1" x14ac:dyDescent="0.3">
      <c r="A32" s="24"/>
      <c r="B32" s="24"/>
      <c r="C32" s="24"/>
      <c r="D32" s="24"/>
      <c r="E32" s="24"/>
      <c r="F32" s="24"/>
    </row>
    <row r="33" spans="1:6" ht="52.5" customHeight="1" thickBot="1" x14ac:dyDescent="0.3">
      <c r="A33" s="24"/>
      <c r="B33" s="24"/>
      <c r="C33" s="24"/>
      <c r="D33" s="24"/>
      <c r="E33" s="24"/>
      <c r="F33" s="24"/>
    </row>
    <row r="34" spans="1:6" ht="52.5" customHeight="1" thickBot="1" x14ac:dyDescent="0.3">
      <c r="A34" s="24"/>
      <c r="B34" s="24"/>
      <c r="C34" s="24"/>
      <c r="D34" s="24"/>
      <c r="E34" s="24"/>
      <c r="F34" s="24"/>
    </row>
    <row r="35" spans="1:6" ht="52.5" customHeight="1" thickBot="1" x14ac:dyDescent="0.3">
      <c r="A35" s="24"/>
      <c r="B35" s="24"/>
      <c r="C35" s="24"/>
      <c r="D35" s="24"/>
      <c r="E35" s="24"/>
      <c r="F35" s="24"/>
    </row>
    <row r="36" spans="1:6" ht="52.5" customHeight="1" thickBot="1" x14ac:dyDescent="0.3">
      <c r="A36" s="24"/>
      <c r="B36" s="24"/>
      <c r="C36" s="24"/>
      <c r="D36" s="24"/>
      <c r="E36" s="24"/>
      <c r="F36" s="24"/>
    </row>
    <row r="37" spans="1:6" ht="52.5" customHeight="1" thickBot="1" x14ac:dyDescent="0.3">
      <c r="A37" s="24"/>
      <c r="B37" s="24"/>
      <c r="C37" s="24"/>
      <c r="D37" s="24"/>
      <c r="E37" s="24"/>
      <c r="F37" s="24"/>
    </row>
    <row r="38" spans="1:6" ht="52.5" customHeight="1" thickBot="1" x14ac:dyDescent="0.3">
      <c r="A38" s="24"/>
      <c r="B38" s="24"/>
      <c r="C38" s="24"/>
      <c r="D38" s="24"/>
      <c r="E38" s="24"/>
      <c r="F38" s="24"/>
    </row>
    <row r="39" spans="1:6" ht="52.5" customHeight="1" thickBot="1" x14ac:dyDescent="0.3">
      <c r="A39" s="24"/>
      <c r="B39" s="24"/>
      <c r="C39" s="24"/>
      <c r="D39" s="24"/>
      <c r="E39" s="24"/>
      <c r="F39" s="24"/>
    </row>
    <row r="40" spans="1:6" ht="52.5" customHeight="1" thickBot="1" x14ac:dyDescent="0.3">
      <c r="A40" s="24"/>
      <c r="B40" s="24"/>
      <c r="C40" s="24"/>
      <c r="D40" s="24"/>
      <c r="E40" s="24"/>
      <c r="F40" s="24"/>
    </row>
    <row r="41" spans="1:6" ht="52.5" customHeight="1" thickBot="1" x14ac:dyDescent="0.3">
      <c r="A41" s="24"/>
      <c r="B41" s="24"/>
      <c r="C41" s="24"/>
      <c r="D41" s="24"/>
      <c r="E41" s="24"/>
      <c r="F41" s="24"/>
    </row>
    <row r="42" spans="1:6" ht="52.5" customHeight="1" thickBot="1" x14ac:dyDescent="0.3">
      <c r="A42" s="24"/>
      <c r="B42" s="24"/>
      <c r="C42" s="24"/>
      <c r="D42" s="24"/>
      <c r="E42" s="24"/>
      <c r="F42" s="24"/>
    </row>
    <row r="43" spans="1:6" ht="52.5" customHeight="1" thickBot="1" x14ac:dyDescent="0.3">
      <c r="A43" s="24"/>
      <c r="B43" s="24"/>
      <c r="C43" s="24"/>
      <c r="D43" s="24"/>
      <c r="E43" s="24"/>
      <c r="F43" s="24"/>
    </row>
    <row r="44" spans="1:6" ht="52.5" customHeight="1" thickBot="1" x14ac:dyDescent="0.3">
      <c r="A44" s="24"/>
      <c r="B44" s="24"/>
      <c r="C44" s="24"/>
      <c r="D44" s="24"/>
      <c r="E44" s="24"/>
      <c r="F44" s="24"/>
    </row>
    <row r="45" spans="1:6" ht="52.5" customHeight="1" thickBot="1" x14ac:dyDescent="0.3">
      <c r="A45" s="24"/>
      <c r="B45" s="24"/>
      <c r="C45" s="24"/>
      <c r="D45" s="24"/>
      <c r="E45" s="24"/>
      <c r="F45" s="24"/>
    </row>
    <row r="46" spans="1:6" ht="52.5" customHeight="1" thickBot="1" x14ac:dyDescent="0.3">
      <c r="A46" s="24"/>
      <c r="B46" s="24"/>
      <c r="C46" s="24"/>
      <c r="D46" s="24"/>
      <c r="E46" s="24"/>
      <c r="F46" s="24"/>
    </row>
    <row r="47" spans="1:6" ht="52.5" customHeight="1" thickBot="1" x14ac:dyDescent="0.3">
      <c r="A47" s="24"/>
      <c r="B47" s="24"/>
      <c r="C47" s="24"/>
      <c r="D47" s="24"/>
      <c r="E47" s="24"/>
      <c r="F47" s="24"/>
    </row>
    <row r="48" spans="1:6" ht="52.5" customHeight="1" thickBot="1" x14ac:dyDescent="0.3">
      <c r="A48" s="24"/>
      <c r="B48" s="24"/>
      <c r="C48" s="24"/>
      <c r="D48" s="24"/>
      <c r="E48" s="24"/>
      <c r="F48" s="24"/>
    </row>
    <row r="49" spans="1:6" ht="52.5" customHeight="1" thickBot="1" x14ac:dyDescent="0.3">
      <c r="A49" s="24"/>
      <c r="B49" s="24"/>
      <c r="C49" s="24"/>
      <c r="D49" s="24"/>
      <c r="E49" s="24"/>
      <c r="F49" s="24"/>
    </row>
    <row r="50" spans="1:6" ht="52.5" customHeight="1" thickBot="1" x14ac:dyDescent="0.3">
      <c r="A50" s="24"/>
      <c r="B50" s="24"/>
      <c r="C50" s="24"/>
      <c r="D50" s="24"/>
      <c r="E50" s="24"/>
      <c r="F50" s="24"/>
    </row>
    <row r="51" spans="1:6" ht="52.5" customHeight="1" thickBot="1" x14ac:dyDescent="0.3">
      <c r="A51" s="24"/>
      <c r="B51" s="24"/>
      <c r="C51" s="24"/>
      <c r="D51" s="24"/>
      <c r="E51" s="24"/>
      <c r="F51" s="24"/>
    </row>
    <row r="52" spans="1:6" ht="52.5" customHeight="1" thickBot="1" x14ac:dyDescent="0.3">
      <c r="A52" s="24"/>
      <c r="B52" s="24"/>
      <c r="C52" s="24"/>
      <c r="D52" s="24"/>
      <c r="E52" s="24"/>
      <c r="F52" s="24"/>
    </row>
    <row r="53" spans="1:6" ht="52.5" customHeight="1" thickBot="1" x14ac:dyDescent="0.3">
      <c r="A53" s="24"/>
      <c r="B53" s="24"/>
      <c r="C53" s="24"/>
      <c r="D53" s="24"/>
      <c r="E53" s="24"/>
      <c r="F53" s="24"/>
    </row>
    <row r="54" spans="1:6" ht="52.5" customHeight="1" thickBot="1" x14ac:dyDescent="0.3">
      <c r="A54" s="24"/>
      <c r="B54" s="24"/>
      <c r="C54" s="24"/>
      <c r="D54" s="24"/>
      <c r="E54" s="24"/>
      <c r="F54" s="24"/>
    </row>
    <row r="55" spans="1:6" ht="52.5" customHeight="1" thickBot="1" x14ac:dyDescent="0.3">
      <c r="A55" s="24"/>
      <c r="B55" s="24"/>
      <c r="C55" s="24"/>
      <c r="D55" s="24"/>
      <c r="E55" s="24"/>
      <c r="F55" s="24"/>
    </row>
    <row r="56" spans="1:6" ht="52.5" customHeight="1" thickBot="1" x14ac:dyDescent="0.3">
      <c r="A56" s="24"/>
      <c r="B56" s="24"/>
      <c r="C56" s="24"/>
      <c r="D56" s="24"/>
      <c r="E56" s="24"/>
      <c r="F56" s="24"/>
    </row>
    <row r="57" spans="1:6" ht="52.5" customHeight="1" thickBot="1" x14ac:dyDescent="0.3">
      <c r="A57" s="24"/>
      <c r="B57" s="24"/>
      <c r="C57" s="24"/>
      <c r="D57" s="24"/>
      <c r="E57" s="24"/>
      <c r="F57" s="24"/>
    </row>
    <row r="58" spans="1:6" ht="52.5" customHeight="1" thickBot="1" x14ac:dyDescent="0.3">
      <c r="A58" s="24"/>
      <c r="B58" s="24"/>
      <c r="C58" s="24"/>
      <c r="D58" s="24"/>
      <c r="E58" s="24"/>
      <c r="F58" s="24"/>
    </row>
    <row r="59" spans="1:6" ht="52.5" customHeight="1" thickBot="1" x14ac:dyDescent="0.3">
      <c r="A59" s="24"/>
      <c r="B59" s="24"/>
      <c r="C59" s="24"/>
      <c r="D59" s="24"/>
      <c r="E59" s="24"/>
      <c r="F59" s="24"/>
    </row>
    <row r="60" spans="1:6" ht="52.5" customHeight="1" thickBot="1" x14ac:dyDescent="0.3">
      <c r="A60" s="24"/>
      <c r="B60" s="24"/>
      <c r="C60" s="24"/>
      <c r="D60" s="24"/>
      <c r="E60" s="24"/>
      <c r="F60" s="24"/>
    </row>
    <row r="61" spans="1:6" ht="44.25" customHeight="1" thickBot="1" x14ac:dyDescent="0.3">
      <c r="A61" s="18"/>
      <c r="B61" s="18"/>
      <c r="C61" s="18"/>
      <c r="D61" s="18"/>
      <c r="E61" s="18"/>
      <c r="F61" s="19"/>
    </row>
    <row r="62" spans="1:6" ht="44.25" customHeight="1" x14ac:dyDescent="0.25">
      <c r="A62" s="18"/>
      <c r="B62" s="18"/>
      <c r="C62" s="18"/>
      <c r="D62" s="18"/>
      <c r="E62" s="18"/>
      <c r="F62" s="19"/>
    </row>
    <row r="63" spans="1:6" ht="44.25" customHeight="1" x14ac:dyDescent="0.25">
      <c r="A63" s="18"/>
      <c r="B63" s="18"/>
      <c r="C63" s="18"/>
      <c r="D63" s="18"/>
      <c r="E63" s="18"/>
      <c r="F63" s="19"/>
    </row>
    <row r="64" spans="1:6" ht="44.25" customHeight="1" thickBot="1" x14ac:dyDescent="0.3">
      <c r="A64" s="18"/>
      <c r="B64" s="18"/>
      <c r="C64" s="18"/>
      <c r="D64" s="18"/>
      <c r="E64" s="18"/>
      <c r="F64" s="19"/>
    </row>
    <row r="65" spans="1:10" ht="28.5" customHeight="1" thickBot="1" x14ac:dyDescent="0.3">
      <c r="A65" s="50" t="s">
        <v>18</v>
      </c>
      <c r="B65" s="51"/>
      <c r="C65" s="51"/>
      <c r="D65" s="52"/>
      <c r="E65" s="50">
        <f>SUM(F61:F64)</f>
        <v>0</v>
      </c>
      <c r="F65" s="52"/>
    </row>
    <row r="66" spans="1:10" ht="21" customHeight="1" x14ac:dyDescent="0.25">
      <c r="A66" s="20" t="s">
        <v>19</v>
      </c>
      <c r="B66" s="21"/>
      <c r="C66" s="21"/>
    </row>
    <row r="67" spans="1:10" ht="21" customHeight="1" x14ac:dyDescent="0.25">
      <c r="A67" s="30" t="s">
        <v>20</v>
      </c>
      <c r="B67" s="30"/>
      <c r="C67" s="30"/>
      <c r="D67" s="30"/>
      <c r="E67" s="30"/>
      <c r="F67" s="30"/>
    </row>
    <row r="68" spans="1:10" ht="21" customHeight="1" x14ac:dyDescent="0.25">
      <c r="A68" s="30" t="s">
        <v>21</v>
      </c>
      <c r="B68" s="30"/>
      <c r="C68" s="30"/>
      <c r="D68" s="30"/>
      <c r="E68" s="30"/>
      <c r="F68" s="30"/>
    </row>
    <row r="69" spans="1:10" ht="21" customHeight="1" x14ac:dyDescent="0.25">
      <c r="A69" s="22" t="s">
        <v>22</v>
      </c>
      <c r="B69" s="21"/>
      <c r="C69" s="21"/>
    </row>
    <row r="70" spans="1:10" ht="21" customHeight="1" x14ac:dyDescent="0.25">
      <c r="A70" s="22" t="s">
        <v>23</v>
      </c>
      <c r="B70" s="21"/>
      <c r="C70" s="21"/>
    </row>
    <row r="71" spans="1:10" ht="9" customHeight="1" x14ac:dyDescent="0.25">
      <c r="A71" s="40" t="s">
        <v>24</v>
      </c>
      <c r="B71" s="41"/>
      <c r="C71" s="7"/>
      <c r="D71" s="42" t="s">
        <v>25</v>
      </c>
      <c r="E71" s="43"/>
      <c r="F71" s="43"/>
    </row>
    <row r="72" spans="1:10" ht="9.75" customHeight="1" x14ac:dyDescent="0.25">
      <c r="A72" s="41"/>
      <c r="B72" s="41"/>
      <c r="C72" s="7"/>
      <c r="D72" s="43"/>
      <c r="E72" s="43"/>
      <c r="F72" s="43"/>
    </row>
    <row r="73" spans="1:10" ht="8.25" customHeight="1" x14ac:dyDescent="0.25">
      <c r="A73" s="41"/>
      <c r="B73" s="41"/>
      <c r="C73" s="7"/>
      <c r="D73" s="43"/>
      <c r="E73" s="43"/>
      <c r="F73" s="43"/>
    </row>
    <row r="74" spans="1:10" x14ac:dyDescent="0.25">
      <c r="A74" s="41"/>
      <c r="B74" s="41"/>
      <c r="C74" s="7"/>
      <c r="D74" s="43"/>
      <c r="E74" s="43"/>
      <c r="F74" s="43"/>
    </row>
    <row r="75" spans="1:10" x14ac:dyDescent="0.25">
      <c r="A75" s="41"/>
      <c r="B75" s="41"/>
      <c r="C75" s="7"/>
      <c r="D75" s="43"/>
      <c r="E75" s="43"/>
      <c r="F75" s="43"/>
    </row>
    <row r="76" spans="1:10" x14ac:dyDescent="0.25">
      <c r="A76" s="41"/>
      <c r="B76" s="41"/>
      <c r="C76" s="7"/>
      <c r="D76" s="43"/>
      <c r="E76" s="43"/>
      <c r="F76" s="43"/>
      <c r="J76" s="23"/>
    </row>
    <row r="77" spans="1:10" ht="29" customHeight="1" x14ac:dyDescent="0.25">
      <c r="A77" s="41"/>
      <c r="B77" s="41"/>
      <c r="C77" s="7"/>
      <c r="D77" s="43"/>
      <c r="E77" s="43"/>
      <c r="F77" s="43"/>
    </row>
  </sheetData>
  <mergeCells count="19">
    <mergeCell ref="A1:F2"/>
    <mergeCell ref="A3:B6"/>
    <mergeCell ref="A71:B77"/>
    <mergeCell ref="D71:F77"/>
    <mergeCell ref="B9:F9"/>
    <mergeCell ref="B10:F10"/>
    <mergeCell ref="E11:F11"/>
    <mergeCell ref="E12:F12"/>
    <mergeCell ref="E13:F13"/>
    <mergeCell ref="A65:D65"/>
    <mergeCell ref="E65:F65"/>
    <mergeCell ref="D3:F3"/>
    <mergeCell ref="D4:F4"/>
    <mergeCell ref="D5:F5"/>
    <mergeCell ref="D6:F6"/>
    <mergeCell ref="B7:F7"/>
    <mergeCell ref="B8:F8"/>
    <mergeCell ref="A67:F67"/>
    <mergeCell ref="A68:F68"/>
  </mergeCells>
  <phoneticPr fontId="16" type="noConversion"/>
  <pageMargins left="0.75" right="0.75" top="1" bottom="1" header="0.5" footer="0.5"/>
  <pageSetup paperSize="9" scale="6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425D3-D0DA-4CE8-A9C1-C3714E55353C}">
  <dimension ref="A1:N24"/>
  <sheetViews>
    <sheetView workbookViewId="0">
      <selection activeCell="C15" sqref="C15"/>
    </sheetView>
  </sheetViews>
  <sheetFormatPr defaultColWidth="8.75" defaultRowHeight="15" x14ac:dyDescent="0.25"/>
  <cols>
    <col min="3" max="3" width="20.75" customWidth="1"/>
    <col min="4" max="4" width="9.25" bestFit="1" customWidth="1"/>
  </cols>
  <sheetData>
    <row r="1" spans="1:8" x14ac:dyDescent="0.25">
      <c r="B1" s="1" t="s">
        <v>26</v>
      </c>
      <c r="C1" s="1" t="s">
        <v>27</v>
      </c>
      <c r="D1" s="1">
        <f>0.5*0.0022*30</f>
        <v>3.3000000000000002E-2</v>
      </c>
      <c r="E1" s="1">
        <f>D1*40000</f>
        <v>1320</v>
      </c>
      <c r="F1" s="1">
        <f>E1/6.65</f>
        <v>198.49624060150376</v>
      </c>
    </row>
    <row r="2" spans="1:8" x14ac:dyDescent="0.25">
      <c r="B2" s="1" t="s">
        <v>26</v>
      </c>
      <c r="C2" s="1" t="s">
        <v>28</v>
      </c>
      <c r="D2" s="1">
        <f>0.5*0.0025*30</f>
        <v>3.7499999999999999E-2</v>
      </c>
      <c r="E2" s="1">
        <f>D2*40000</f>
        <v>1500</v>
      </c>
      <c r="F2" s="1">
        <f>E2/6.65</f>
        <v>225.56390977443607</v>
      </c>
    </row>
    <row r="4" spans="1:8" ht="52.5" x14ac:dyDescent="0.3">
      <c r="A4" s="2" t="s">
        <v>29</v>
      </c>
      <c r="B4">
        <v>80</v>
      </c>
      <c r="C4">
        <f>0.219*3.14*1.07+0.12</f>
        <v>0.85579620000000012</v>
      </c>
      <c r="D4">
        <f>C4*0.55*0.0022</f>
        <v>1.0355134020000002E-3</v>
      </c>
      <c r="E4">
        <f>D4*40000</f>
        <v>41.420536080000005</v>
      </c>
      <c r="F4">
        <v>0.63</v>
      </c>
      <c r="G4">
        <f>0.1*42/6.7</f>
        <v>0.62686567164179108</v>
      </c>
      <c r="H4">
        <f>E4+F4+G4</f>
        <v>42.677401751641796</v>
      </c>
    </row>
    <row r="5" spans="1:8" ht="52.5" x14ac:dyDescent="0.3">
      <c r="A5" s="2" t="s">
        <v>30</v>
      </c>
      <c r="B5">
        <v>80</v>
      </c>
      <c r="C5">
        <f>0.406*3.14*1.07+0.12</f>
        <v>1.4840788000000003</v>
      </c>
      <c r="D5">
        <f>C5*0.55*0.0025</f>
        <v>2.0406083500000005E-3</v>
      </c>
      <c r="E5">
        <f>D5*40000</f>
        <v>81.624334000000019</v>
      </c>
      <c r="F5">
        <v>0.63</v>
      </c>
      <c r="G5">
        <f>0.15*42/6.7</f>
        <v>0.94029850746268651</v>
      </c>
      <c r="H5">
        <f>E5+F5+G5</f>
        <v>83.1946325074627</v>
      </c>
    </row>
    <row r="6" spans="1:8" ht="52.5" x14ac:dyDescent="0.3">
      <c r="A6" s="2" t="s">
        <v>31</v>
      </c>
      <c r="B6">
        <v>80</v>
      </c>
      <c r="C6">
        <f>0.406*3.14*1.07+0.12</f>
        <v>1.4840788000000003</v>
      </c>
      <c r="D6">
        <f>C6*0.55*0.003</f>
        <v>2.4487300200000009E-3</v>
      </c>
      <c r="E6">
        <f>D6*40000</f>
        <v>97.949200800000028</v>
      </c>
      <c r="F6">
        <v>0.63</v>
      </c>
      <c r="G6">
        <f>0.15*42/6.7</f>
        <v>0.94029850746268651</v>
      </c>
      <c r="H6">
        <f>E6+F6+G6</f>
        <v>99.519499307462709</v>
      </c>
    </row>
    <row r="9" spans="1:8" ht="52.5" x14ac:dyDescent="0.3">
      <c r="A9" s="2" t="s">
        <v>29</v>
      </c>
      <c r="B9">
        <v>60</v>
      </c>
      <c r="C9">
        <f>0.219*3.14*1.07+0.12</f>
        <v>0.85579620000000012</v>
      </c>
      <c r="D9">
        <f>C9*0.55*0.0022</f>
        <v>1.0355134020000002E-3</v>
      </c>
      <c r="E9">
        <f>D9*37000</f>
        <v>38.313995874000007</v>
      </c>
      <c r="F9">
        <v>0.63</v>
      </c>
      <c r="G9">
        <f>0.1*42/6.7</f>
        <v>0.62686567164179108</v>
      </c>
      <c r="H9">
        <f>E9+F9+G9</f>
        <v>39.570861545641797</v>
      </c>
    </row>
    <row r="11" spans="1:8" ht="42" customHeight="1" x14ac:dyDescent="0.25">
      <c r="A11" s="3" t="s">
        <v>16</v>
      </c>
      <c r="B11" s="3" t="s">
        <v>17</v>
      </c>
      <c r="C11" s="3">
        <v>30</v>
      </c>
      <c r="D11" s="3">
        <v>203.45</v>
      </c>
    </row>
    <row r="13" spans="1:8" x14ac:dyDescent="0.25">
      <c r="B13">
        <f>0.45*30*0.0024</f>
        <v>3.2399999999999998E-2</v>
      </c>
      <c r="C13">
        <f>B13*40000</f>
        <v>1296</v>
      </c>
      <c r="D13">
        <f>C13/6.38</f>
        <v>203.13479623824452</v>
      </c>
    </row>
    <row r="15" spans="1:8" x14ac:dyDescent="0.25">
      <c r="B15">
        <f>0.45*30*0.0024</f>
        <v>3.2399999999999998E-2</v>
      </c>
      <c r="C15">
        <f>B15*37000</f>
        <v>1198.8</v>
      </c>
      <c r="D15">
        <f>C15/6.32</f>
        <v>189.68354430379745</v>
      </c>
      <c r="F15">
        <v>189.6</v>
      </c>
      <c r="G15">
        <f>D11-F15</f>
        <v>13.849999999999994</v>
      </c>
      <c r="H15">
        <f>G15*30</f>
        <v>415.49999999999983</v>
      </c>
    </row>
    <row r="24" spans="11:14" x14ac:dyDescent="0.25">
      <c r="K24">
        <f>0.5*380</f>
        <v>190</v>
      </c>
      <c r="L24">
        <f>1830/190</f>
        <v>9.6315789473684212</v>
      </c>
      <c r="N24">
        <f>0.55*0.12*L24</f>
        <v>0.63568421052631585</v>
      </c>
    </row>
  </sheetData>
  <phoneticPr fontId="16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1</vt:i4>
      </vt:variant>
    </vt:vector>
  </HeadingPairs>
  <TitlesOfParts>
    <vt:vector size="3" baseType="lpstr">
      <vt:lpstr>Sheet3</vt:lpstr>
      <vt:lpstr>Sheet1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lin yu</cp:lastModifiedBy>
  <cp:lastPrinted>2025-07-01T02:11:33Z</cp:lastPrinted>
  <dcterms:created xsi:type="dcterms:W3CDTF">1996-12-17T01:32:42Z</dcterms:created>
  <dcterms:modified xsi:type="dcterms:W3CDTF">2026-05-09T02:58:54Z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699B5D95D73346D7B370415511C7FB5A_13</vt:lpwstr>
  </property>
  <property fmtid="{D5CDD505-2E9C-101B-9397-08002B2CF9AE}" pid="4" name="CalculationRule">
    <vt:r8>0</vt:r8>
  </property>
</Properties>
</file>
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Coding_Programs\CustomsFileGenerator\templates\"/>
    </mc:Choice>
  </mc:AlternateContent>
  <xr:revisionPtr revIDLastSave="0" documentId="13_ncr:1_{3B556AEC-C863-47E9-9232-398A8084D15E}" xr6:coauthVersionLast="47" xr6:coauthVersionMax="47" xr10:uidLastSave="{00000000-0000-0000-0000-000000000000}"/>
  <bookViews>
    <workbookView xWindow="-110" yWindow="-110" windowWidth="29020" windowHeight="17500" xr2:uid="{87741532-310A-4214-B70A-6C1038390C1B}"/>
  </bookViews>
  <sheets>
    <sheet name="ENQUIRY" sheetId="5" r:id="rId1"/>
    <sheet name="Sheet1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5" l="1"/>
  <c r="J28" i="5"/>
  <c r="I28" i="5"/>
  <c r="G28" i="5"/>
  <c r="G8" i="7"/>
  <c r="G9" i="7"/>
  <c r="G10" i="7"/>
  <c r="G11" i="7"/>
  <c r="G12" i="7"/>
  <c r="F18" i="7"/>
  <c r="G18" i="7"/>
  <c r="H18" i="7"/>
  <c r="I18" i="7"/>
</calcChain>
</file>

<file path=xl/sharedStrings.xml><?xml version="1.0" encoding="utf-8"?>
<sst xmlns="http://schemas.openxmlformats.org/spreadsheetml/2006/main" count="80" uniqueCount="55">
  <si>
    <r>
      <rPr>
        <b/>
        <sz val="16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长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园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长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通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新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材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料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股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份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有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限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公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司</t>
    </r>
    <r>
      <rPr>
        <b/>
        <sz val="16"/>
        <rFont val="宋体"/>
        <family val="3"/>
        <charset val="134"/>
      </rPr>
      <t xml:space="preserve">
</t>
    </r>
    <r>
      <rPr>
        <b/>
        <sz val="16"/>
        <rFont val="Arial"/>
        <family val="2"/>
      </rPr>
      <t xml:space="preserve"> CYG CHANGTONG NEW MATERIAL CO., LTD</t>
    </r>
  </si>
  <si>
    <r>
      <t xml:space="preserve">PACKING LIST </t>
    </r>
    <r>
      <rPr>
        <b/>
        <sz val="20"/>
        <rFont val="宋体"/>
        <family val="3"/>
        <charset val="134"/>
      </rPr>
      <t>装箱单</t>
    </r>
  </si>
  <si>
    <r>
      <t>For Account of :</t>
    </r>
    <r>
      <rPr>
        <b/>
        <sz val="11"/>
        <rFont val="宋体"/>
        <family val="3"/>
        <charset val="134"/>
      </rPr>
      <t>抬头人</t>
    </r>
  </si>
  <si>
    <r>
      <t xml:space="preserve">Invoice No. </t>
    </r>
    <r>
      <rPr>
        <b/>
        <sz val="11"/>
        <rFont val="宋体"/>
        <family val="3"/>
        <charset val="134"/>
      </rPr>
      <t>发票号</t>
    </r>
  </si>
  <si>
    <r>
      <t>Date</t>
    </r>
    <r>
      <rPr>
        <b/>
        <sz val="11"/>
        <rFont val="宋体"/>
        <family val="3"/>
        <charset val="134"/>
      </rPr>
      <t>日期</t>
    </r>
    <r>
      <rPr>
        <b/>
        <sz val="11"/>
        <rFont val="Arial"/>
        <family val="2"/>
      </rPr>
      <t xml:space="preserve">:   </t>
    </r>
  </si>
  <si>
    <r>
      <t xml:space="preserve">Contact No.  </t>
    </r>
    <r>
      <rPr>
        <b/>
        <sz val="11"/>
        <rFont val="宋体"/>
        <family val="3"/>
        <charset val="134"/>
      </rPr>
      <t>合同号</t>
    </r>
  </si>
  <si>
    <r>
      <t>Payment</t>
    </r>
    <r>
      <rPr>
        <b/>
        <sz val="11"/>
        <rFont val="宋体"/>
        <family val="3"/>
        <charset val="134"/>
      </rPr>
      <t>付款方式</t>
    </r>
    <r>
      <rPr>
        <b/>
        <sz val="11"/>
        <rFont val="Arial"/>
        <family val="2"/>
      </rPr>
      <t xml:space="preserve">:          </t>
    </r>
  </si>
  <si>
    <t>T/T</t>
  </si>
  <si>
    <r>
      <t xml:space="preserve">Order  No.  </t>
    </r>
    <r>
      <rPr>
        <b/>
        <sz val="11"/>
        <rFont val="宋体"/>
        <family val="3"/>
        <charset val="134"/>
      </rPr>
      <t>订单号</t>
    </r>
  </si>
  <si>
    <r>
      <t>Country of origin</t>
    </r>
    <r>
      <rPr>
        <b/>
        <sz val="11"/>
        <rFont val="宋体"/>
        <family val="3"/>
        <charset val="134"/>
      </rPr>
      <t>产地</t>
    </r>
    <r>
      <rPr>
        <b/>
        <sz val="11"/>
        <rFont val="Arial"/>
        <family val="2"/>
      </rPr>
      <t>:</t>
    </r>
  </si>
  <si>
    <t xml:space="preserve"> No.</t>
  </si>
  <si>
    <t>Item Description</t>
  </si>
  <si>
    <t>Unit</t>
  </si>
  <si>
    <t>Package No.</t>
  </si>
  <si>
    <t>N.W./Kg</t>
  </si>
  <si>
    <t>G.W/kg</t>
  </si>
  <si>
    <r>
      <t>Volume/M</t>
    </r>
    <r>
      <rPr>
        <b/>
        <vertAlign val="superscript"/>
        <sz val="14"/>
        <rFont val="Calibri"/>
        <family val="2"/>
      </rPr>
      <t>3</t>
    </r>
  </si>
  <si>
    <t xml:space="preserve">Beneficiary: CYG CHANGTONG NEW MATERIAL CO., LTD
Account No:  41-003200040003025 
SWIFT:      ABOCCNBJ410 
Bank name: Agriculture Bank of China Shenzhen Branch 
Bank Address: 3/F, Hang Tang Building, Overseas Chinese Town, Shenzhen China
</t>
  </si>
  <si>
    <r>
      <t>长园长通新材料股份有限公司</t>
    </r>
    <r>
      <rPr>
        <b/>
        <sz val="12"/>
        <rFont val="Arial"/>
        <family val="2"/>
      </rPr>
      <t xml:space="preserve">  
CYG CHANGTONG NEW MATERIAL CO., LTD
Authorized Signature(s)</t>
    </r>
  </si>
  <si>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长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园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长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通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新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材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料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有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限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公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 xml:space="preserve">司
</t>
    </r>
    <r>
      <rPr>
        <b/>
        <sz val="16"/>
        <rFont val="Arial"/>
        <family val="2"/>
      </rPr>
      <t>CYG CHANGTONG NEW MATERIAL CO., LTD</t>
    </r>
  </si>
  <si>
    <t xml:space="preserve">
LG CHEM. LTD.
</t>
  </si>
  <si>
    <t>LG-001</t>
  </si>
  <si>
    <t>中国</t>
  </si>
  <si>
    <t>FOB Shenzhen</t>
  </si>
  <si>
    <t>纸箱编号</t>
  </si>
  <si>
    <t>产品名称</t>
  </si>
  <si>
    <t>规格/颜色</t>
  </si>
  <si>
    <r>
      <rPr>
        <b/>
        <sz val="12"/>
        <rFont val="宋体"/>
        <family val="3"/>
        <charset val="134"/>
      </rPr>
      <t>米</t>
    </r>
    <r>
      <rPr>
        <b/>
        <sz val="12"/>
        <rFont val="Calibri"/>
        <family val="2"/>
      </rPr>
      <t>/</t>
    </r>
    <r>
      <rPr>
        <b/>
        <sz val="12"/>
        <rFont val="宋体"/>
        <family val="3"/>
        <charset val="134"/>
      </rPr>
      <t>箱</t>
    </r>
  </si>
  <si>
    <r>
      <rPr>
        <b/>
        <sz val="12"/>
        <rFont val="宋体"/>
        <family val="3"/>
        <charset val="134"/>
      </rPr>
      <t>净重</t>
    </r>
    <r>
      <rPr>
        <b/>
        <sz val="12"/>
        <rFont val="Calibri"/>
        <family val="2"/>
      </rPr>
      <t>/kg</t>
    </r>
  </si>
  <si>
    <t>price list       FOB Shenzhen</t>
  </si>
  <si>
    <r>
      <rPr>
        <b/>
        <sz val="12"/>
        <rFont val="宋体"/>
        <family val="3"/>
        <charset val="134"/>
      </rPr>
      <t>毛重</t>
    </r>
    <r>
      <rPr>
        <b/>
        <sz val="12"/>
        <rFont val="Calibri"/>
        <family val="2"/>
      </rPr>
      <t>/kg</t>
    </r>
  </si>
  <si>
    <r>
      <rPr>
        <b/>
        <sz val="12"/>
        <rFont val="宋体"/>
        <family val="3"/>
        <charset val="134"/>
      </rPr>
      <t>体积</t>
    </r>
    <r>
      <rPr>
        <b/>
        <sz val="12"/>
        <rFont val="Calibri"/>
        <family val="2"/>
      </rPr>
      <t>/M</t>
    </r>
    <r>
      <rPr>
        <b/>
        <vertAlign val="superscript"/>
        <sz val="12"/>
        <rFont val="Calibri"/>
        <family val="2"/>
      </rPr>
      <t>3</t>
    </r>
  </si>
  <si>
    <t>1-10</t>
  </si>
  <si>
    <t>Tube （S3 ）</t>
  </si>
  <si>
    <r>
      <rPr>
        <b/>
        <sz val="12"/>
        <rFont val="宋体"/>
        <family val="3"/>
        <charset val="134"/>
      </rPr>
      <t>直径</t>
    </r>
    <r>
      <rPr>
        <b/>
        <sz val="12"/>
        <rFont val="Arial"/>
        <family val="2"/>
      </rPr>
      <t>18</t>
    </r>
    <r>
      <rPr>
        <b/>
        <sz val="12"/>
        <rFont val="宋体"/>
        <family val="3"/>
        <charset val="134"/>
      </rPr>
      <t>毫米</t>
    </r>
    <r>
      <rPr>
        <b/>
        <sz val="12"/>
        <rFont val="Arial"/>
        <family val="2"/>
      </rPr>
      <t>,</t>
    </r>
    <r>
      <rPr>
        <b/>
        <sz val="12"/>
        <rFont val="宋体"/>
        <family val="3"/>
        <charset val="134"/>
      </rPr>
      <t>宝蓝色</t>
    </r>
  </si>
  <si>
    <t>2-10</t>
  </si>
  <si>
    <t>3-10</t>
  </si>
  <si>
    <r>
      <rPr>
        <b/>
        <sz val="12"/>
        <rFont val="宋体"/>
        <family val="3"/>
        <charset val="134"/>
      </rPr>
      <t>直径</t>
    </r>
    <r>
      <rPr>
        <b/>
        <sz val="12"/>
        <rFont val="Arial"/>
        <family val="2"/>
      </rPr>
      <t>18毫米,宝蓝色</t>
    </r>
  </si>
  <si>
    <t>4-10</t>
  </si>
  <si>
    <t>5-10</t>
  </si>
  <si>
    <t>6-10</t>
  </si>
  <si>
    <t>7-10</t>
  </si>
  <si>
    <t>8-10</t>
  </si>
  <si>
    <t>9-10</t>
  </si>
  <si>
    <t>10-10</t>
  </si>
  <si>
    <t>合计</t>
  </si>
  <si>
    <r>
      <rPr>
        <b/>
        <sz val="12"/>
        <color indexed="8"/>
        <rFont val="宋体"/>
        <family val="3"/>
        <charset val="134"/>
      </rPr>
      <t>备注</t>
    </r>
    <r>
      <rPr>
        <b/>
        <sz val="12"/>
        <color indexed="8"/>
        <rFont val="Arial"/>
        <family val="2"/>
      </rPr>
      <t xml:space="preserve">: 
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indexed="8"/>
        <rFont val="宋体"/>
        <family val="3"/>
        <charset val="134"/>
      </rPr>
      <t>付款方式</t>
    </r>
    <r>
      <rPr>
        <b/>
        <sz val="12"/>
        <color indexed="8"/>
        <rFont val="Arial"/>
        <family val="2"/>
      </rPr>
      <t xml:space="preserve">:   T/T , </t>
    </r>
    <r>
      <rPr>
        <b/>
        <sz val="12"/>
        <color indexed="8"/>
        <rFont val="宋体"/>
        <family val="3"/>
        <charset val="134"/>
      </rPr>
      <t>从发货日起</t>
    </r>
    <r>
      <rPr>
        <b/>
        <sz val="12"/>
        <color indexed="8"/>
        <rFont val="Arial"/>
        <family val="2"/>
      </rPr>
      <t>60</t>
    </r>
    <r>
      <rPr>
        <b/>
        <sz val="12"/>
        <color indexed="8"/>
        <rFont val="宋体"/>
        <family val="3"/>
        <charset val="134"/>
      </rPr>
      <t>天内付清</t>
    </r>
  </si>
  <si>
    <r>
      <t>长园长通新材料有限公司</t>
    </r>
    <r>
      <rPr>
        <b/>
        <sz val="12"/>
        <rFont val="Arial"/>
        <family val="2"/>
      </rPr>
      <t xml:space="preserve">  
CYG CHANGTONG NEW MATERIAL CO., LTD
   </t>
    </r>
    <r>
      <rPr>
        <b/>
        <sz val="12"/>
        <rFont val="宋体"/>
        <family val="3"/>
        <charset val="134"/>
      </rPr>
      <t>确认签署：</t>
    </r>
    <r>
      <rPr>
        <b/>
        <sz val="12"/>
        <rFont val="Arial"/>
        <family val="2"/>
      </rPr>
      <t xml:space="preserve">
Authorized Signature(s)</t>
    </r>
  </si>
  <si>
    <t>Pallet No.</t>
    <phoneticPr fontId="29" type="noConversion"/>
  </si>
  <si>
    <t>Spec.</t>
  </si>
  <si>
    <t>Beneficiary: CYG CHANGTONG NEW MATERIAL CO., LTD
Account No:  41-003200040003025 
SWIFT:      ABOCCNBJ410 
Bank name: Agriculture Bank of China Shenzhen Branch 
Bank Address: 3/F, Hang Tang Building, Overseas Chinese Town, Shenzhen China</t>
    <phoneticPr fontId="29" type="noConversion"/>
  </si>
  <si>
    <t>QTY. / Ctn</t>
    <phoneticPr fontId="29" type="noConversion"/>
  </si>
  <si>
    <t>TOTAL QTY.</t>
    <phoneticPr fontId="29" type="noConversion"/>
  </si>
  <si>
    <r>
      <t>Country of origin</t>
    </r>
    <r>
      <rPr>
        <b/>
        <sz val="11"/>
        <rFont val="宋体"/>
        <family val="2"/>
        <charset val="134"/>
      </rPr>
      <t>产地</t>
    </r>
    <r>
      <rPr>
        <b/>
        <sz val="11"/>
        <rFont val="Arial"/>
        <family val="2"/>
      </rPr>
      <t>:</t>
    </r>
    <phoneticPr fontId="29" type="noConversion"/>
  </si>
  <si>
    <r>
      <t xml:space="preserve">Destination </t>
    </r>
    <r>
      <rPr>
        <b/>
        <sz val="11"/>
        <rFont val="宋体"/>
        <family val="2"/>
        <charset val="134"/>
      </rPr>
      <t>目的地</t>
    </r>
    <r>
      <rPr>
        <b/>
        <sz val="11"/>
        <rFont val="Arial"/>
        <family val="2"/>
      </rPr>
      <t>:</t>
    </r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</si>
</sst>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US$&quot;#,##0.00;\-&quot;US$&quot;#,##0.00"/>
    <numFmt numFmtId="177" formatCode="0.00_);[Red]\(0.00\)"/>
    <numFmt numFmtId="178" formatCode="&quot;US$&quot;#,##0.000_);[Red]\(&quot;US$&quot;#,##0.000\)"/>
    <numFmt numFmtId="179" formatCode="0.000_ "/>
    <numFmt numFmtId="180" formatCode="#,##0.00_ "/>
    <numFmt numFmtId="181" formatCode="#,##0.000_ "/>
  </numFmts>
  <fonts count="31" x14ac:knownFonts="1">
    <font>
      <sz val="10"/>
      <name val="Arial"/>
      <family val="2"/>
    </font>
    <font>
      <b/>
      <sz val="16"/>
      <name val="宋体"/>
      <family val="3"/>
      <charset val="134"/>
    </font>
    <font>
      <sz val="16"/>
      <name val="Arial"/>
      <family val="2"/>
    </font>
    <font>
      <b/>
      <sz val="20"/>
      <name val="Arial"/>
      <family val="2"/>
    </font>
    <font>
      <b/>
      <sz val="20"/>
      <name val="宋体"/>
      <family val="3"/>
      <charset val="134"/>
    </font>
    <font>
      <b/>
      <sz val="11"/>
      <name val="Arial"/>
      <family val="2"/>
    </font>
    <font>
      <sz val="11"/>
      <name val="Arial"/>
      <family val="2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Calibri"/>
      <family val="2"/>
    </font>
    <font>
      <b/>
      <sz val="12"/>
      <color indexed="10"/>
      <name val="Calibri"/>
      <family val="2"/>
    </font>
    <font>
      <b/>
      <sz val="11"/>
      <name val="Calibri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10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14"/>
      <name val="Calibri"/>
      <family val="2"/>
    </font>
    <font>
      <sz val="14"/>
      <name val="Arial"/>
      <family val="2"/>
    </font>
    <font>
      <b/>
      <sz val="14"/>
      <name val="Arial"/>
      <family val="2"/>
    </font>
    <font>
      <b/>
      <vertAlign val="superscript"/>
      <sz val="14"/>
      <name val="Calibri"/>
      <family val="2"/>
    </font>
    <font>
      <b/>
      <vertAlign val="superscript"/>
      <sz val="12"/>
      <name val="Calibri"/>
      <family val="2"/>
    </font>
    <font>
      <b/>
      <sz val="16"/>
      <name val="Arial"/>
      <family val="2"/>
    </font>
    <font>
      <b/>
      <sz val="12"/>
      <color indexed="8"/>
      <name val="宋体"/>
      <family val="3"/>
      <charset val="134"/>
    </font>
    <font>
      <b/>
      <sz val="22"/>
      <name val="宋体"/>
      <family val="3"/>
      <charset val="134"/>
    </font>
    <font>
      <b/>
      <sz val="22"/>
      <name val="Arial"/>
      <family val="2"/>
    </font>
    <font>
      <sz val="9"/>
      <name val="宋体"/>
      <family val="3"/>
      <charset val="134"/>
    </font>
    <font>
      <b/>
      <sz val="11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49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49" fontId="8" fillId="2" borderId="3" xfId="0" applyNumberFormat="1" applyFont="1" applyFill="1" applyBorder="1" applyAlignment="1">
      <alignment horizontal="center" vertical="center" wrapText="1"/>
    </xf>
    <xf numFmtId="176" fontId="8" fillId="2" borderId="4" xfId="0" applyNumberFormat="1" applyFont="1" applyFill="1" applyBorder="1" applyAlignment="1">
      <alignment horizontal="center" vertical="center" wrapText="1"/>
    </xf>
    <xf numFmtId="176" fontId="9" fillId="2" borderId="4" xfId="0" applyNumberFormat="1" applyFont="1" applyFill="1" applyBorder="1" applyAlignment="1">
      <alignment horizontal="center" vertical="center" wrapText="1"/>
    </xf>
    <xf numFmtId="176" fontId="10" fillId="2" borderId="4" xfId="0" applyNumberFormat="1" applyFont="1" applyFill="1" applyBorder="1" applyAlignment="1">
      <alignment horizontal="center" vertical="center" wrapText="1"/>
    </xf>
    <xf numFmtId="177" fontId="9" fillId="2" borderId="5" xfId="0" applyNumberFormat="1" applyFont="1" applyFill="1" applyBorder="1" applyAlignment="1">
      <alignment horizontal="center" vertical="center" wrapText="1"/>
    </xf>
    <xf numFmtId="49" fontId="11" fillId="3" borderId="6" xfId="0" applyNumberFormat="1" applyFont="1" applyFill="1" applyBorder="1" applyAlignment="1">
      <alignment horizontal="center" vertical="center" wrapText="1"/>
    </xf>
    <xf numFmtId="3" fontId="12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79" fontId="12" fillId="0" borderId="6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76" fontId="14" fillId="0" borderId="6" xfId="0" applyNumberFormat="1" applyFont="1" applyBorder="1" applyAlignment="1">
      <alignment horizontal="left"/>
    </xf>
    <xf numFmtId="0" fontId="0" fillId="0" borderId="0" xfId="0" applyAlignment="1">
      <alignment wrapText="1"/>
    </xf>
    <xf numFmtId="58" fontId="0" fillId="0" borderId="0" xfId="0" applyNumberFormat="1" applyAlignment="1">
      <alignment horizontal="center" vertical="center"/>
    </xf>
    <xf numFmtId="3" fontId="0" fillId="0" borderId="0" xfId="0" applyNumberFormat="1"/>
    <xf numFmtId="49" fontId="17" fillId="0" borderId="0" xfId="0" applyNumberFormat="1" applyFont="1"/>
    <xf numFmtId="0" fontId="17" fillId="0" borderId="0" xfId="0" applyFont="1"/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49" fontId="20" fillId="2" borderId="7" xfId="0" applyNumberFormat="1" applyFont="1" applyFill="1" applyBorder="1" applyAlignment="1">
      <alignment horizontal="center" vertical="center" wrapText="1"/>
    </xf>
    <xf numFmtId="176" fontId="20" fillId="2" borderId="7" xfId="0" applyNumberFormat="1" applyFont="1" applyFill="1" applyBorder="1" applyAlignment="1">
      <alignment horizontal="center" vertical="center" wrapText="1"/>
    </xf>
    <xf numFmtId="177" fontId="20" fillId="2" borderId="7" xfId="0" applyNumberFormat="1" applyFont="1" applyFill="1" applyBorder="1" applyAlignment="1">
      <alignment horizontal="center" vertical="center" wrapText="1"/>
    </xf>
    <xf numFmtId="3" fontId="22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49" fontId="17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9" fontId="12" fillId="0" borderId="13" xfId="0" applyNumberFormat="1" applyFont="1" applyBorder="1" applyAlignment="1">
      <alignment horizontal="center" vertical="center"/>
    </xf>
    <xf numFmtId="177" fontId="12" fillId="0" borderId="13" xfId="0" applyNumberFormat="1" applyFont="1" applyBorder="1" applyAlignment="1">
      <alignment horizontal="center" vertical="center"/>
    </xf>
    <xf numFmtId="180" fontId="22" fillId="0" borderId="7" xfId="0" applyNumberFormat="1" applyFont="1" applyBorder="1" applyAlignment="1">
      <alignment horizontal="center" vertical="center"/>
    </xf>
    <xf numFmtId="181" fontId="22" fillId="0" borderId="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5" fillId="0" borderId="18" xfId="0" applyFont="1" applyBorder="1" applyAlignment="1">
      <alignment vertical="center" wrapText="1"/>
    </xf>
    <xf numFmtId="0" fontId="5" fillId="0" borderId="18" xfId="0" applyFont="1" applyBorder="1" applyAlignment="1">
      <alignment vertical="center"/>
    </xf>
    <xf numFmtId="0" fontId="20" fillId="3" borderId="15" xfId="0" applyFont="1" applyFill="1" applyBorder="1" applyAlignment="1">
      <alignment horizontal="center" vertical="center" wrapText="1"/>
    </xf>
    <xf numFmtId="0" fontId="20" fillId="3" borderId="16" xfId="0" applyFont="1" applyFill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/>
    </xf>
    <xf numFmtId="0" fontId="20" fillId="2" borderId="13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178" fontId="5" fillId="0" borderId="8" xfId="0" applyNumberFormat="1" applyFont="1" applyBorder="1" applyAlignment="1">
      <alignment horizontal="left" vertical="center" wrapText="1"/>
    </xf>
    <xf numFmtId="178" fontId="5" fillId="0" borderId="9" xfId="0" applyNumberFormat="1" applyFont="1" applyBorder="1" applyAlignment="1">
      <alignment horizontal="left" vertical="center" wrapText="1"/>
    </xf>
    <xf numFmtId="178" fontId="5" fillId="0" borderId="11" xfId="0" applyNumberFormat="1" applyFont="1" applyBorder="1" applyAlignment="1">
      <alignment horizontal="left" vertical="center" wrapText="1"/>
    </xf>
    <xf numFmtId="178" fontId="5" fillId="0" borderId="12" xfId="0" applyNumberFormat="1" applyFont="1" applyBorder="1" applyAlignment="1">
      <alignment horizontal="left" vertical="center" wrapText="1"/>
    </xf>
    <xf numFmtId="14" fontId="6" fillId="0" borderId="9" xfId="0" applyNumberFormat="1" applyFon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14" fontId="6" fillId="0" borderId="14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78" fontId="5" fillId="0" borderId="8" xfId="0" applyNumberFormat="1" applyFont="1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14" fontId="6" fillId="0" borderId="8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178" fontId="5" fillId="0" borderId="11" xfId="0" applyNumberFormat="1" applyFont="1" applyBorder="1" applyAlignment="1">
      <alignment vertical="center" wrapText="1"/>
    </xf>
    <xf numFmtId="0" fontId="0" fillId="0" borderId="12" xfId="0" applyBorder="1"/>
    <xf numFmtId="0" fontId="0" fillId="0" borderId="14" xfId="0" applyBorder="1"/>
    <xf numFmtId="0" fontId="8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3" borderId="6" xfId="0" applyFont="1" applyFill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13" fillId="0" borderId="0" xfId="0" applyFont="1" applyAlignment="1">
      <alignment vertical="top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8" fillId="3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0</xdr:row>
      <xdr:rowOff>12700</xdr:rowOff>
    </xdr:from>
    <xdr:to>
      <xdr:col>2</xdr:col>
      <xdr:colOff>628650</xdr:colOff>
      <xdr:row>0</xdr:row>
      <xdr:rowOff>476250</xdr:rowOff>
    </xdr:to>
    <xdr:pic>
      <xdr:nvPicPr>
        <xdr:cNvPr id="1404" name="图片 1" descr="CYCT-常规LOGO">
          <a:extLst>
            <a:ext uri="{FF2B5EF4-FFF2-40B4-BE49-F238E27FC236}">
              <a16:creationId xmlns:a16="http://schemas.microsoft.com/office/drawing/2014/main" id="{71126DBD-3961-9580-B4E7-DBA2DCD65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850" y="12700"/>
          <a:ext cx="14287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800100</xdr:colOff>
      <xdr:row>28</xdr:row>
      <xdr:rowOff>196850</xdr:rowOff>
    </xdr:from>
    <xdr:to>
      <xdr:col>9</xdr:col>
      <xdr:colOff>127000</xdr:colOff>
      <xdr:row>34</xdr:row>
      <xdr:rowOff>44450</xdr:rowOff>
    </xdr:to>
    <xdr:pic>
      <xdr:nvPicPr>
        <xdr:cNvPr id="1405" name="图片 2">
          <a:extLst>
            <a:ext uri="{FF2B5EF4-FFF2-40B4-BE49-F238E27FC236}">
              <a16:creationId xmlns:a16="http://schemas.microsoft.com/office/drawing/2014/main" id="{92916AC9-3F3A-AD97-8740-D0FE0C162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9200" y="7156450"/>
          <a:ext cx="1955800" cy="187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0</xdr:rowOff>
    </xdr:from>
    <xdr:to>
      <xdr:col>2</xdr:col>
      <xdr:colOff>279400</xdr:colOff>
      <xdr:row>1</xdr:row>
      <xdr:rowOff>0</xdr:rowOff>
    </xdr:to>
    <xdr:pic>
      <xdr:nvPicPr>
        <xdr:cNvPr id="3315" name="Picture 1" descr="CYG最新-2">
          <a:extLst>
            <a:ext uri="{FF2B5EF4-FFF2-40B4-BE49-F238E27FC236}">
              <a16:creationId xmlns:a16="http://schemas.microsoft.com/office/drawing/2014/main" id="{F41DB8DE-2165-E8FD-4948-D6287F058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0"/>
          <a:ext cx="1447800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FE3A-1C3E-43F1-B142-A1A859CB47D5}">
  <dimension ref="A1:L34"/>
  <sheetViews>
    <sheetView tabSelected="1" zoomScale="85" zoomScaleNormal="85" workbookViewId="0">
      <selection activeCell="D10" sqref="D10"/>
    </sheetView>
  </sheetViews>
  <sheetFormatPr defaultColWidth="9.1796875" defaultRowHeight="12.5" x14ac:dyDescent="0.25"/>
  <cols>
    <col min="1" max="1" width="7.54296875" style="38" customWidth="1"/>
    <col min="2" max="2" width="6.7265625" style="4" customWidth="1"/>
    <col min="3" max="3" width="16.7265625" style="4" customWidth="1"/>
    <col min="4" max="4" width="24.7265625" style="4" customWidth="1"/>
    <col min="5" max="5" width="11.1796875" style="4" customWidth="1"/>
    <col min="6" max="8" width="11.81640625" style="4" customWidth="1"/>
    <col min="9" max="9" width="14" style="4" customWidth="1"/>
    <col min="10" max="10" width="14.453125" style="39" customWidth="1"/>
    <col min="11" max="11" width="15.08984375" style="40" customWidth="1"/>
    <col min="12" max="12" width="15" style="4" customWidth="1"/>
    <col min="13" max="14" width="9.1796875" style="4"/>
    <col min="15" max="15" width="12.81640625" style="4" bestFit="1" customWidth="1"/>
    <col min="16" max="16384" width="9.1796875" style="4"/>
  </cols>
  <sheetData>
    <row r="1" spans="1:11" ht="65.25" customHeight="1" x14ac:dyDescent="0.25">
      <c r="A1" s="48" t="s">
        <v>0</v>
      </c>
      <c r="B1" s="48"/>
      <c r="C1" s="49"/>
      <c r="D1" s="49"/>
      <c r="E1" s="49"/>
      <c r="F1" s="49"/>
      <c r="G1" s="49"/>
      <c r="H1" s="49"/>
      <c r="I1" s="49"/>
      <c r="J1" s="49"/>
      <c r="K1" s="49"/>
    </row>
    <row r="2" spans="1:11" ht="25.5" x14ac:dyDescent="0.25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1"/>
    </row>
    <row r="3" spans="1:11" ht="33.75" customHeight="1" x14ac:dyDescent="0.25">
      <c r="A3" s="52" t="s">
        <v>2</v>
      </c>
      <c r="B3" s="52"/>
      <c r="C3" s="52"/>
      <c r="D3" s="53"/>
      <c r="E3" s="54"/>
      <c r="F3" s="54"/>
      <c r="G3" s="54"/>
      <c r="H3" s="54"/>
      <c r="I3" s="55"/>
      <c r="J3" s="55"/>
      <c r="K3" s="56"/>
    </row>
    <row r="4" spans="1:11" ht="25.5" customHeight="1" x14ac:dyDescent="0.25">
      <c r="A4" s="57" t="s">
        <v>3</v>
      </c>
      <c r="B4" s="57"/>
      <c r="C4" s="58"/>
      <c r="D4" s="45"/>
      <c r="E4" s="45"/>
      <c r="F4" s="68" t="s">
        <v>4</v>
      </c>
      <c r="G4" s="69"/>
      <c r="H4" s="69"/>
      <c r="I4" s="72"/>
      <c r="J4" s="72"/>
      <c r="K4" s="73"/>
    </row>
    <row r="5" spans="1:11" ht="27" customHeight="1" x14ac:dyDescent="0.25">
      <c r="A5" s="57" t="s">
        <v>5</v>
      </c>
      <c r="B5" s="57"/>
      <c r="C5" s="58"/>
      <c r="D5" s="45"/>
      <c r="E5" s="45"/>
      <c r="F5" s="68" t="s">
        <v>6</v>
      </c>
      <c r="G5" s="69"/>
      <c r="H5" s="69"/>
      <c r="I5" s="72"/>
      <c r="J5" s="72"/>
      <c r="K5" s="73"/>
    </row>
    <row r="6" spans="1:11" ht="32.25" customHeight="1" thickBot="1" x14ac:dyDescent="0.3">
      <c r="A6" s="57" t="s">
        <v>53</v>
      </c>
      <c r="B6" s="57"/>
      <c r="C6" s="58"/>
      <c r="D6" s="45"/>
      <c r="E6" s="45"/>
      <c r="F6" s="70" t="s">
        <v>54</v>
      </c>
      <c r="G6" s="71"/>
      <c r="H6" s="71"/>
      <c r="I6" s="74"/>
      <c r="J6" s="74"/>
      <c r="K6" s="75"/>
    </row>
    <row r="7" spans="1:11" ht="55.5" customHeight="1" thickBot="1" x14ac:dyDescent="0.3">
      <c r="A7" s="28" t="s">
        <v>10</v>
      </c>
      <c r="B7" s="66" t="s">
        <v>11</v>
      </c>
      <c r="C7" s="67"/>
      <c r="D7" s="29" t="s">
        <v>49</v>
      </c>
      <c r="E7" s="29" t="s">
        <v>12</v>
      </c>
      <c r="F7" s="29" t="s">
        <v>51</v>
      </c>
      <c r="G7" s="28" t="s">
        <v>13</v>
      </c>
      <c r="H7" s="28" t="s">
        <v>48</v>
      </c>
      <c r="I7" s="29" t="s">
        <v>14</v>
      </c>
      <c r="J7" s="29" t="s">
        <v>15</v>
      </c>
      <c r="K7" s="30" t="s">
        <v>16</v>
      </c>
    </row>
    <row r="8" spans="1:11" ht="45" customHeight="1" thickBot="1" x14ac:dyDescent="0.3">
      <c r="A8" s="32"/>
      <c r="B8" s="46"/>
      <c r="C8" s="47"/>
      <c r="D8" s="33"/>
      <c r="E8" s="33"/>
      <c r="F8" s="33"/>
      <c r="G8" s="33"/>
      <c r="H8" s="34"/>
      <c r="I8" s="42"/>
      <c r="J8" s="42"/>
      <c r="K8" s="41"/>
    </row>
    <row r="9" spans="1:11" ht="45" customHeight="1" thickBot="1" x14ac:dyDescent="0.3">
      <c r="A9" s="32"/>
      <c r="B9" s="46"/>
      <c r="C9" s="47"/>
      <c r="D9" s="33"/>
      <c r="E9" s="33"/>
      <c r="F9" s="33"/>
      <c r="G9" s="33"/>
      <c r="H9" s="34"/>
      <c r="I9" s="42"/>
      <c r="J9" s="42"/>
      <c r="K9" s="41"/>
    </row>
    <row r="10" spans="1:11" ht="45" customHeight="1" thickBot="1" x14ac:dyDescent="0.3">
      <c r="A10" s="32"/>
      <c r="B10" s="46"/>
      <c r="C10" s="47"/>
      <c r="D10" s="33"/>
      <c r="E10" s="33"/>
      <c r="F10" s="33"/>
      <c r="G10" s="33"/>
      <c r="H10" s="34"/>
      <c r="I10" s="42"/>
      <c r="J10" s="42"/>
      <c r="K10" s="41"/>
    </row>
    <row r="11" spans="1:11" ht="45" customHeight="1" thickBot="1" x14ac:dyDescent="0.3">
      <c r="A11" s="32"/>
      <c r="B11" s="46"/>
      <c r="C11" s="47"/>
      <c r="D11" s="33"/>
      <c r="E11" s="33"/>
      <c r="F11" s="33"/>
      <c r="G11" s="33"/>
      <c r="H11" s="34"/>
      <c r="I11" s="42"/>
      <c r="J11" s="42"/>
      <c r="K11" s="41"/>
    </row>
    <row r="12" spans="1:11" ht="45" customHeight="1" thickBot="1" x14ac:dyDescent="0.3">
      <c r="A12" s="32"/>
      <c r="B12" s="46"/>
      <c r="C12" s="47"/>
      <c r="D12" s="33"/>
      <c r="E12" s="33"/>
      <c r="F12" s="33"/>
      <c r="G12" s="33"/>
      <c r="H12" s="34"/>
      <c r="I12" s="42"/>
      <c r="J12" s="42"/>
      <c r="K12" s="41"/>
    </row>
    <row r="13" spans="1:11" ht="45" customHeight="1" thickBot="1" x14ac:dyDescent="0.3">
      <c r="A13" s="32"/>
      <c r="B13" s="46"/>
      <c r="C13" s="47"/>
      <c r="D13" s="33"/>
      <c r="E13" s="33"/>
      <c r="F13" s="33"/>
      <c r="G13" s="33"/>
      <c r="H13" s="34"/>
      <c r="I13" s="42"/>
      <c r="J13" s="42"/>
      <c r="K13" s="41"/>
    </row>
    <row r="14" spans="1:11" ht="45" customHeight="1" thickBot="1" x14ac:dyDescent="0.3">
      <c r="A14" s="32"/>
      <c r="B14" s="46"/>
      <c r="C14" s="47"/>
      <c r="D14" s="33"/>
      <c r="E14" s="33"/>
      <c r="F14" s="33"/>
      <c r="G14" s="33"/>
      <c r="H14" s="34"/>
      <c r="I14" s="42"/>
      <c r="J14" s="42"/>
      <c r="K14" s="41"/>
    </row>
    <row r="15" spans="1:11" ht="45" customHeight="1" thickBot="1" x14ac:dyDescent="0.3">
      <c r="A15" s="32"/>
      <c r="B15" s="46"/>
      <c r="C15" s="47"/>
      <c r="D15" s="33"/>
      <c r="E15" s="33"/>
      <c r="F15" s="33"/>
      <c r="G15" s="33"/>
      <c r="H15" s="34"/>
      <c r="I15" s="42"/>
      <c r="J15" s="42"/>
      <c r="K15" s="41"/>
    </row>
    <row r="16" spans="1:11" ht="45" customHeight="1" thickBot="1" x14ac:dyDescent="0.3">
      <c r="A16" s="32"/>
      <c r="B16" s="46"/>
      <c r="C16" s="47"/>
      <c r="D16" s="33"/>
      <c r="E16" s="33"/>
      <c r="F16" s="33"/>
      <c r="G16" s="33"/>
      <c r="H16" s="34"/>
      <c r="I16" s="42"/>
      <c r="J16" s="42"/>
      <c r="K16" s="41"/>
    </row>
    <row r="17" spans="1:12" ht="45" customHeight="1" thickBot="1" x14ac:dyDescent="0.3">
      <c r="A17" s="32"/>
      <c r="B17" s="46"/>
      <c r="C17" s="47"/>
      <c r="D17" s="33"/>
      <c r="E17" s="33"/>
      <c r="F17" s="33"/>
      <c r="G17" s="33"/>
      <c r="H17" s="34"/>
      <c r="I17" s="42"/>
      <c r="J17" s="42"/>
      <c r="K17" s="41"/>
    </row>
    <row r="18" spans="1:12" ht="45" customHeight="1" thickBot="1" x14ac:dyDescent="0.3">
      <c r="A18" s="32"/>
      <c r="B18" s="46"/>
      <c r="C18" s="47"/>
      <c r="D18" s="33"/>
      <c r="E18" s="33"/>
      <c r="F18" s="33"/>
      <c r="G18" s="33"/>
      <c r="H18" s="34"/>
      <c r="I18" s="42"/>
      <c r="J18" s="42"/>
      <c r="K18" s="41"/>
    </row>
    <row r="19" spans="1:12" ht="45" customHeight="1" thickBot="1" x14ac:dyDescent="0.3">
      <c r="A19" s="32"/>
      <c r="B19" s="46"/>
      <c r="C19" s="47"/>
      <c r="D19" s="33"/>
      <c r="E19" s="33"/>
      <c r="F19" s="33"/>
      <c r="G19" s="33"/>
      <c r="H19" s="34"/>
      <c r="I19" s="42"/>
      <c r="J19" s="42"/>
      <c r="K19" s="41"/>
    </row>
    <row r="20" spans="1:12" ht="45" customHeight="1" thickBot="1" x14ac:dyDescent="0.3">
      <c r="A20" s="32"/>
      <c r="B20" s="46"/>
      <c r="C20" s="47"/>
      <c r="D20" s="33"/>
      <c r="E20" s="33"/>
      <c r="F20" s="33"/>
      <c r="G20" s="33"/>
      <c r="H20" s="34"/>
      <c r="I20" s="42"/>
      <c r="J20" s="42"/>
      <c r="K20" s="41"/>
    </row>
    <row r="21" spans="1:12" ht="45" customHeight="1" thickBot="1" x14ac:dyDescent="0.3">
      <c r="A21" s="32"/>
      <c r="B21" s="46"/>
      <c r="C21" s="47"/>
      <c r="D21" s="33"/>
      <c r="E21" s="33"/>
      <c r="F21" s="33"/>
      <c r="G21" s="33"/>
      <c r="H21" s="34"/>
      <c r="I21" s="42"/>
      <c r="J21" s="42"/>
      <c r="K21" s="41"/>
    </row>
    <row r="22" spans="1:12" ht="45" customHeight="1" thickBot="1" x14ac:dyDescent="0.3">
      <c r="A22" s="32"/>
      <c r="B22" s="46"/>
      <c r="C22" s="47"/>
      <c r="D22" s="33"/>
      <c r="E22" s="33"/>
      <c r="F22" s="33"/>
      <c r="G22" s="33"/>
      <c r="H22" s="34"/>
      <c r="I22" s="42"/>
      <c r="J22" s="42"/>
      <c r="K22" s="41"/>
    </row>
    <row r="23" spans="1:12" ht="45" customHeight="1" thickBot="1" x14ac:dyDescent="0.3">
      <c r="A23" s="32"/>
      <c r="B23" s="46"/>
      <c r="C23" s="47"/>
      <c r="D23" s="33"/>
      <c r="E23" s="33"/>
      <c r="F23" s="33"/>
      <c r="G23" s="33"/>
      <c r="H23" s="34"/>
      <c r="I23" s="42"/>
      <c r="J23" s="42"/>
      <c r="K23" s="41"/>
    </row>
    <row r="24" spans="1:12" ht="45" customHeight="1" thickBot="1" x14ac:dyDescent="0.3">
      <c r="A24" s="32"/>
      <c r="B24" s="46"/>
      <c r="C24" s="47"/>
      <c r="D24" s="33"/>
      <c r="E24" s="33"/>
      <c r="F24" s="33"/>
      <c r="G24" s="33"/>
      <c r="H24" s="34"/>
      <c r="I24" s="42"/>
      <c r="J24" s="42"/>
      <c r="K24" s="41"/>
    </row>
    <row r="25" spans="1:12" ht="45" customHeight="1" thickBot="1" x14ac:dyDescent="0.3">
      <c r="A25" s="32"/>
      <c r="B25" s="46"/>
      <c r="C25" s="47"/>
      <c r="D25" s="33"/>
      <c r="E25" s="33"/>
      <c r="F25" s="33"/>
      <c r="G25" s="33"/>
      <c r="H25" s="34"/>
      <c r="I25" s="42"/>
      <c r="J25" s="42"/>
      <c r="K25" s="41"/>
    </row>
    <row r="26" spans="1:12" ht="45" customHeight="1" thickBot="1" x14ac:dyDescent="0.3">
      <c r="A26" s="32"/>
      <c r="B26" s="46"/>
      <c r="C26" s="47"/>
      <c r="D26" s="33"/>
      <c r="E26" s="33"/>
      <c r="F26" s="33"/>
      <c r="G26" s="33"/>
      <c r="H26" s="34"/>
      <c r="I26" s="42"/>
      <c r="J26" s="42"/>
      <c r="K26" s="41"/>
    </row>
    <row r="27" spans="1:12" ht="45" customHeight="1" thickBot="1" x14ac:dyDescent="0.3">
      <c r="A27" s="32"/>
      <c r="B27" s="46"/>
      <c r="C27" s="47"/>
      <c r="D27" s="33"/>
      <c r="E27" s="33"/>
      <c r="F27" s="33"/>
      <c r="G27" s="33"/>
      <c r="H27" s="34"/>
      <c r="I27" s="42"/>
      <c r="J27" s="42"/>
      <c r="K27" s="41"/>
    </row>
    <row r="28" spans="1:12" ht="51.75" customHeight="1" thickBot="1" x14ac:dyDescent="0.3">
      <c r="A28" s="59" t="s">
        <v>52</v>
      </c>
      <c r="B28" s="60"/>
      <c r="C28" s="61"/>
      <c r="D28" s="31"/>
      <c r="E28" s="31"/>
      <c r="F28" s="31"/>
      <c r="G28" s="31">
        <f>SUM(G8:G27)</f>
        <v>0</v>
      </c>
      <c r="H28" s="31"/>
      <c r="I28" s="43">
        <f>SUM(I8:I27)</f>
        <v>0</v>
      </c>
      <c r="J28" s="43">
        <f>SUM(J8:J27)</f>
        <v>0</v>
      </c>
      <c r="K28" s="44">
        <f>SUM(K8:K27)</f>
        <v>0</v>
      </c>
      <c r="L28" s="19"/>
    </row>
    <row r="29" spans="1:12" ht="20" customHeight="1" x14ac:dyDescent="0.25">
      <c r="A29" s="64" t="s">
        <v>50</v>
      </c>
      <c r="B29" s="64"/>
      <c r="C29" s="64"/>
      <c r="D29" s="64"/>
      <c r="E29" s="64"/>
      <c r="F29" s="64"/>
      <c r="G29" s="64"/>
      <c r="H29" s="64"/>
      <c r="I29" s="64"/>
      <c r="J29" s="64"/>
      <c r="K29" s="65"/>
      <c r="L29" s="19"/>
    </row>
    <row r="30" spans="1:12" ht="20" customHeight="1" x14ac:dyDescent="0.2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5"/>
      <c r="L30" s="19"/>
    </row>
    <row r="31" spans="1:12" ht="20" customHeight="1" x14ac:dyDescent="0.2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5"/>
      <c r="L31" s="19"/>
    </row>
    <row r="32" spans="1:12" ht="20" customHeight="1" x14ac:dyDescent="0.2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5"/>
      <c r="L32" s="19"/>
    </row>
    <row r="33" spans="1:11" ht="40" customHeight="1" x14ac:dyDescent="0.25">
      <c r="A33" s="35"/>
      <c r="B33" s="36"/>
      <c r="C33" s="36"/>
      <c r="D33" s="26"/>
      <c r="E33" s="26"/>
      <c r="F33" s="62" t="s">
        <v>18</v>
      </c>
      <c r="G33" s="62"/>
      <c r="H33" s="62"/>
      <c r="I33" s="63"/>
      <c r="J33" s="63"/>
      <c r="K33" s="63"/>
    </row>
    <row r="34" spans="1:11" ht="40" customHeight="1" x14ac:dyDescent="0.25">
      <c r="A34" s="35"/>
      <c r="B34" s="36"/>
      <c r="C34" s="36"/>
      <c r="D34" s="37"/>
      <c r="E34" s="37"/>
      <c r="F34" s="63"/>
      <c r="G34" s="63"/>
      <c r="H34" s="63"/>
      <c r="I34" s="63"/>
      <c r="J34" s="63"/>
      <c r="K34" s="63"/>
    </row>
  </sheetData>
  <mergeCells count="37">
    <mergeCell ref="B13:C13"/>
    <mergeCell ref="B14:C14"/>
    <mergeCell ref="F5:H5"/>
    <mergeCell ref="F6:H6"/>
    <mergeCell ref="I4:K4"/>
    <mergeCell ref="I5:K5"/>
    <mergeCell ref="I6:K6"/>
    <mergeCell ref="A28:C28"/>
    <mergeCell ref="F33:K34"/>
    <mergeCell ref="A29:K32"/>
    <mergeCell ref="A5:C5"/>
    <mergeCell ref="A6:C6"/>
    <mergeCell ref="B7:C7"/>
    <mergeCell ref="A1:K1"/>
    <mergeCell ref="A2:K2"/>
    <mergeCell ref="A3:C3"/>
    <mergeCell ref="D3:K3"/>
    <mergeCell ref="A4:C4"/>
    <mergeCell ref="F4:H4"/>
    <mergeCell ref="B8:C8"/>
    <mergeCell ref="B9:C9"/>
    <mergeCell ref="B10:C10"/>
    <mergeCell ref="B11:C11"/>
    <mergeCell ref="B12:C12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</mergeCells>
  <phoneticPr fontId="29" type="noConversion"/>
  <printOptions horizontalCentered="1"/>
  <pageMargins left="0.11811023622047245" right="0.11811023622047245" top="0.73" bottom="0.19685039370078741" header="0.19685039370078741" footer="0.19685039370078741"/>
  <pageSetup paperSize="9" scale="7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574ED-B979-4F5B-AFD5-C4700EC99CC1}">
  <dimension ref="A1:P26"/>
  <sheetViews>
    <sheetView topLeftCell="A13" workbookViewId="0">
      <selection activeCell="B8" sqref="B8:C15"/>
    </sheetView>
  </sheetViews>
  <sheetFormatPr defaultColWidth="9.1796875" defaultRowHeight="12.5" x14ac:dyDescent="0.25"/>
  <cols>
    <col min="1" max="1" width="11.81640625" style="1" customWidth="1"/>
    <col min="2" max="2" width="6.7265625" customWidth="1"/>
    <col min="3" max="3" width="13.1796875" customWidth="1"/>
    <col min="4" max="4" width="24" customWidth="1"/>
    <col min="5" max="5" width="16.453125" customWidth="1"/>
    <col min="6" max="6" width="10.7265625" bestFit="1" customWidth="1"/>
    <col min="7" max="7" width="18.81640625" style="2" hidden="1" customWidth="1"/>
    <col min="8" max="8" width="11.81640625" style="2" customWidth="1"/>
    <col min="9" max="9" width="16.7265625" style="3" customWidth="1"/>
    <col min="10" max="10" width="12.453125" customWidth="1"/>
    <col min="15" max="15" width="15" customWidth="1"/>
  </cols>
  <sheetData>
    <row r="1" spans="1:16" ht="65.25" customHeight="1" x14ac:dyDescent="0.25">
      <c r="A1" s="48" t="s">
        <v>19</v>
      </c>
      <c r="B1" s="48"/>
      <c r="C1" s="49"/>
      <c r="D1" s="49"/>
      <c r="E1" s="49"/>
      <c r="F1" s="49"/>
      <c r="G1" s="49"/>
      <c r="H1" s="49"/>
      <c r="I1" s="49"/>
    </row>
    <row r="2" spans="1:16" ht="25.5" x14ac:dyDescent="0.25">
      <c r="A2" s="50" t="s">
        <v>1</v>
      </c>
      <c r="B2" s="50"/>
      <c r="C2" s="50"/>
      <c r="D2" s="50"/>
      <c r="E2" s="50"/>
      <c r="F2" s="50"/>
      <c r="G2" s="50"/>
      <c r="H2" s="50"/>
      <c r="I2" s="51"/>
      <c r="J2" s="5"/>
      <c r="K2" s="5"/>
    </row>
    <row r="3" spans="1:16" ht="28.5" customHeight="1" x14ac:dyDescent="0.25">
      <c r="A3" s="52" t="s">
        <v>2</v>
      </c>
      <c r="B3" s="52"/>
      <c r="C3" s="52"/>
      <c r="D3" s="76" t="s">
        <v>20</v>
      </c>
      <c r="E3" s="76"/>
      <c r="F3" s="77"/>
      <c r="G3" s="77"/>
      <c r="H3" s="77"/>
      <c r="I3" s="77"/>
      <c r="J3" s="4"/>
      <c r="K3" s="4"/>
    </row>
    <row r="4" spans="1:16" ht="25.5" customHeight="1" x14ac:dyDescent="0.3">
      <c r="A4" s="52" t="s">
        <v>3</v>
      </c>
      <c r="B4" s="52"/>
      <c r="C4" s="78"/>
      <c r="D4" s="6" t="s">
        <v>21</v>
      </c>
      <c r="E4" s="79" t="s">
        <v>4</v>
      </c>
      <c r="F4" s="80"/>
      <c r="G4" s="81"/>
      <c r="H4" s="82">
        <v>41852</v>
      </c>
      <c r="I4" s="83"/>
    </row>
    <row r="5" spans="1:16" ht="27" customHeight="1" x14ac:dyDescent="0.3">
      <c r="A5" s="52" t="s">
        <v>5</v>
      </c>
      <c r="B5" s="52"/>
      <c r="C5" s="78"/>
      <c r="D5" s="6" t="s">
        <v>21</v>
      </c>
      <c r="E5" s="79" t="s">
        <v>6</v>
      </c>
      <c r="F5" s="80"/>
      <c r="G5" s="81"/>
      <c r="H5" s="84" t="s">
        <v>7</v>
      </c>
      <c r="I5" s="83"/>
    </row>
    <row r="6" spans="1:16" ht="26.25" customHeight="1" x14ac:dyDescent="0.3">
      <c r="A6" s="85" t="s">
        <v>8</v>
      </c>
      <c r="B6" s="85"/>
      <c r="C6" s="86"/>
      <c r="D6" s="7">
        <v>4506598842</v>
      </c>
      <c r="E6" s="87" t="s">
        <v>9</v>
      </c>
      <c r="F6" s="88"/>
      <c r="G6" s="89"/>
      <c r="H6" s="8" t="s">
        <v>22</v>
      </c>
      <c r="I6" s="9" t="s">
        <v>23</v>
      </c>
    </row>
    <row r="7" spans="1:16" ht="38.25" customHeight="1" x14ac:dyDescent="0.25">
      <c r="A7" s="10" t="s">
        <v>24</v>
      </c>
      <c r="B7" s="90" t="s">
        <v>25</v>
      </c>
      <c r="C7" s="91"/>
      <c r="D7" s="11" t="s">
        <v>26</v>
      </c>
      <c r="E7" s="12" t="s">
        <v>27</v>
      </c>
      <c r="F7" s="12" t="s">
        <v>28</v>
      </c>
      <c r="G7" s="13" t="s">
        <v>29</v>
      </c>
      <c r="H7" s="12" t="s">
        <v>30</v>
      </c>
      <c r="I7" s="14" t="s">
        <v>31</v>
      </c>
    </row>
    <row r="8" spans="1:16" ht="45" customHeight="1" x14ac:dyDescent="0.35">
      <c r="A8" s="15" t="s">
        <v>32</v>
      </c>
      <c r="B8" s="92" t="s">
        <v>33</v>
      </c>
      <c r="C8" s="93"/>
      <c r="D8" s="16" t="s">
        <v>34</v>
      </c>
      <c r="E8" s="16">
        <v>2400</v>
      </c>
      <c r="F8" s="17">
        <v>14.86</v>
      </c>
      <c r="G8" s="17">
        <f>F9+2.5</f>
        <v>17.16</v>
      </c>
      <c r="H8" s="17">
        <v>17.36</v>
      </c>
      <c r="I8" s="18">
        <v>4.3999999999999997E-2</v>
      </c>
      <c r="L8" s="19"/>
      <c r="M8" s="19"/>
      <c r="N8" s="19"/>
      <c r="O8" s="19"/>
      <c r="P8" s="4"/>
    </row>
    <row r="9" spans="1:16" ht="45" customHeight="1" x14ac:dyDescent="0.35">
      <c r="A9" s="15" t="s">
        <v>35</v>
      </c>
      <c r="B9" s="92" t="s">
        <v>33</v>
      </c>
      <c r="C9" s="93"/>
      <c r="D9" s="16" t="s">
        <v>34</v>
      </c>
      <c r="E9" s="16">
        <v>2400</v>
      </c>
      <c r="F9" s="17">
        <v>14.66</v>
      </c>
      <c r="G9" s="17">
        <f>F10+2.5</f>
        <v>17.3</v>
      </c>
      <c r="H9" s="17">
        <v>17.16</v>
      </c>
      <c r="I9" s="18">
        <v>4.3999999999999997E-2</v>
      </c>
      <c r="L9" s="19"/>
      <c r="M9" s="19"/>
      <c r="N9" s="19"/>
      <c r="O9" s="19"/>
      <c r="P9" s="4"/>
    </row>
    <row r="10" spans="1:16" ht="45" customHeight="1" x14ac:dyDescent="0.35">
      <c r="A10" s="15" t="s">
        <v>36</v>
      </c>
      <c r="B10" s="92" t="s">
        <v>33</v>
      </c>
      <c r="C10" s="93"/>
      <c r="D10" s="16" t="s">
        <v>37</v>
      </c>
      <c r="E10" s="16">
        <v>2400</v>
      </c>
      <c r="F10" s="17">
        <v>14.8</v>
      </c>
      <c r="G10" s="17">
        <f>F11+2.5</f>
        <v>17.27</v>
      </c>
      <c r="H10" s="17">
        <v>17.3</v>
      </c>
      <c r="I10" s="18">
        <v>4.3999999999999997E-2</v>
      </c>
      <c r="L10" s="19"/>
      <c r="M10" s="19"/>
      <c r="N10" s="19"/>
      <c r="O10" s="19"/>
      <c r="P10" s="4"/>
    </row>
    <row r="11" spans="1:16" ht="45" customHeight="1" x14ac:dyDescent="0.35">
      <c r="A11" s="15" t="s">
        <v>38</v>
      </c>
      <c r="B11" s="92" t="s">
        <v>33</v>
      </c>
      <c r="C11" s="93"/>
      <c r="D11" s="16" t="s">
        <v>37</v>
      </c>
      <c r="E11" s="16">
        <v>2400</v>
      </c>
      <c r="F11" s="17">
        <v>14.77</v>
      </c>
      <c r="G11" s="17">
        <f>F12+2.5</f>
        <v>17.23</v>
      </c>
      <c r="H11" s="17">
        <v>17.27</v>
      </c>
      <c r="I11" s="18">
        <v>4.3999999999999997E-2</v>
      </c>
      <c r="L11" s="19"/>
      <c r="M11" s="19"/>
      <c r="N11" s="19"/>
      <c r="O11" s="19"/>
      <c r="P11" s="4"/>
    </row>
    <row r="12" spans="1:16" ht="45" customHeight="1" x14ac:dyDescent="0.35">
      <c r="A12" s="15" t="s">
        <v>39</v>
      </c>
      <c r="B12" s="92" t="s">
        <v>33</v>
      </c>
      <c r="C12" s="93"/>
      <c r="D12" s="16" t="s">
        <v>37</v>
      </c>
      <c r="E12" s="16">
        <v>2400</v>
      </c>
      <c r="F12" s="17">
        <v>14.73</v>
      </c>
      <c r="G12" s="17">
        <f>F16+2.5</f>
        <v>17.46</v>
      </c>
      <c r="H12" s="17">
        <v>17.23</v>
      </c>
      <c r="I12" s="18">
        <v>4.3999999999999997E-2</v>
      </c>
      <c r="L12" s="19"/>
      <c r="M12" s="19"/>
      <c r="N12" s="19"/>
      <c r="O12" s="19"/>
      <c r="P12" s="4"/>
    </row>
    <row r="13" spans="1:16" ht="45" customHeight="1" x14ac:dyDescent="0.35">
      <c r="A13" s="15" t="s">
        <v>40</v>
      </c>
      <c r="B13" s="92" t="s">
        <v>33</v>
      </c>
      <c r="C13" s="93"/>
      <c r="D13" s="16" t="s">
        <v>37</v>
      </c>
      <c r="E13" s="16">
        <v>2400</v>
      </c>
      <c r="F13" s="17">
        <v>14.61</v>
      </c>
      <c r="G13" s="20"/>
      <c r="H13" s="17">
        <v>17.11</v>
      </c>
      <c r="I13" s="18">
        <v>4.3999999999999997E-2</v>
      </c>
      <c r="L13" s="19"/>
      <c r="M13" s="19"/>
      <c r="N13" s="19"/>
      <c r="O13" s="19"/>
      <c r="P13" s="4"/>
    </row>
    <row r="14" spans="1:16" ht="45" customHeight="1" x14ac:dyDescent="0.35">
      <c r="A14" s="15" t="s">
        <v>41</v>
      </c>
      <c r="B14" s="92" t="s">
        <v>33</v>
      </c>
      <c r="C14" s="93"/>
      <c r="D14" s="16" t="s">
        <v>37</v>
      </c>
      <c r="E14" s="16">
        <v>2400</v>
      </c>
      <c r="F14" s="17">
        <v>14.66</v>
      </c>
      <c r="G14" s="20"/>
      <c r="H14" s="17">
        <v>17.16</v>
      </c>
      <c r="I14" s="18">
        <v>4.3999999999999997E-2</v>
      </c>
      <c r="K14" s="21"/>
      <c r="L14" s="19"/>
      <c r="M14" s="19"/>
      <c r="N14" s="19"/>
      <c r="O14" s="19"/>
      <c r="P14" s="4"/>
    </row>
    <row r="15" spans="1:16" ht="45" customHeight="1" x14ac:dyDescent="0.35">
      <c r="A15" s="15" t="s">
        <v>42</v>
      </c>
      <c r="B15" s="92" t="s">
        <v>33</v>
      </c>
      <c r="C15" s="93"/>
      <c r="D15" s="16" t="s">
        <v>37</v>
      </c>
      <c r="E15" s="16">
        <v>2400</v>
      </c>
      <c r="F15" s="17">
        <v>14.58</v>
      </c>
      <c r="G15" s="20"/>
      <c r="H15" s="17">
        <v>17.079999999999998</v>
      </c>
      <c r="I15" s="18">
        <v>4.3999999999999997E-2</v>
      </c>
      <c r="L15" s="19"/>
      <c r="M15" s="19"/>
      <c r="N15" s="19"/>
      <c r="O15" s="19"/>
      <c r="P15" s="4"/>
    </row>
    <row r="16" spans="1:16" ht="45" customHeight="1" x14ac:dyDescent="0.35">
      <c r="A16" s="15" t="s">
        <v>43</v>
      </c>
      <c r="B16" s="92" t="s">
        <v>33</v>
      </c>
      <c r="C16" s="93"/>
      <c r="D16" s="16" t="s">
        <v>37</v>
      </c>
      <c r="E16" s="16">
        <v>2400</v>
      </c>
      <c r="F16" s="17">
        <v>14.96</v>
      </c>
      <c r="G16" s="20"/>
      <c r="H16" s="17">
        <v>17.46</v>
      </c>
      <c r="I16" s="18">
        <v>4.3999999999999997E-2</v>
      </c>
      <c r="L16" s="19"/>
      <c r="M16" s="19"/>
      <c r="N16" s="19"/>
      <c r="O16" s="19"/>
      <c r="P16" s="4"/>
    </row>
    <row r="17" spans="1:16" ht="45" customHeight="1" x14ac:dyDescent="0.35">
      <c r="A17" s="15" t="s">
        <v>44</v>
      </c>
      <c r="B17" s="92" t="s">
        <v>33</v>
      </c>
      <c r="C17" s="93"/>
      <c r="D17" s="16" t="s">
        <v>37</v>
      </c>
      <c r="E17" s="16">
        <v>2400</v>
      </c>
      <c r="F17" s="17">
        <v>14.86</v>
      </c>
      <c r="G17" s="20"/>
      <c r="H17" s="17">
        <v>17.36</v>
      </c>
      <c r="I17" s="18">
        <v>4.3999999999999997E-2</v>
      </c>
      <c r="L17" s="19"/>
      <c r="M17" s="19"/>
      <c r="N17" s="19"/>
      <c r="O17" s="19"/>
      <c r="P17" s="4"/>
    </row>
    <row r="18" spans="1:16" ht="45" customHeight="1" x14ac:dyDescent="0.35">
      <c r="A18" s="98" t="s">
        <v>45</v>
      </c>
      <c r="B18" s="99"/>
      <c r="C18" s="100"/>
      <c r="D18" s="16" t="s">
        <v>37</v>
      </c>
      <c r="E18" s="16">
        <v>2400</v>
      </c>
      <c r="F18" s="17">
        <f>SUM(F8:F17)</f>
        <v>147.49</v>
      </c>
      <c r="G18" s="20">
        <f>SUM(G8:G17)</f>
        <v>86.420000000000016</v>
      </c>
      <c r="H18" s="17">
        <f>SUM(H8:H17)</f>
        <v>172.49</v>
      </c>
      <c r="I18" s="18">
        <f>SUM(I8:I17)</f>
        <v>0.43999999999999989</v>
      </c>
      <c r="L18" s="22"/>
      <c r="M18" s="19"/>
      <c r="N18" s="19"/>
      <c r="O18" s="19"/>
      <c r="P18" s="4"/>
    </row>
    <row r="19" spans="1:16" ht="51.75" customHeight="1" x14ac:dyDescent="0.25">
      <c r="A19" s="101" t="s">
        <v>46</v>
      </c>
      <c r="B19" s="101"/>
      <c r="C19" s="102"/>
      <c r="D19" s="102"/>
      <c r="E19" s="102"/>
      <c r="F19" s="102"/>
      <c r="G19" s="102"/>
      <c r="H19" s="102"/>
      <c r="I19" s="102"/>
      <c r="J19" s="23"/>
      <c r="K19" s="23"/>
      <c r="L19" s="22"/>
      <c r="M19" s="19"/>
      <c r="N19" s="19"/>
      <c r="O19" s="19"/>
      <c r="P19" s="4"/>
    </row>
    <row r="20" spans="1:16" ht="30" customHeight="1" x14ac:dyDescent="0.25">
      <c r="A20" s="94" t="s">
        <v>17</v>
      </c>
      <c r="B20" s="94"/>
      <c r="C20" s="94"/>
      <c r="D20" s="94"/>
      <c r="E20" s="94"/>
      <c r="F20" s="94"/>
      <c r="G20" s="94"/>
      <c r="H20" s="94"/>
      <c r="I20" s="95"/>
      <c r="L20" s="22"/>
      <c r="M20" s="19"/>
      <c r="N20" s="19"/>
      <c r="O20" s="19"/>
      <c r="P20" s="4"/>
    </row>
    <row r="21" spans="1:16" x14ac:dyDescent="0.25">
      <c r="A21" s="94"/>
      <c r="B21" s="94"/>
      <c r="C21" s="94"/>
      <c r="D21" s="94"/>
      <c r="E21" s="94"/>
      <c r="F21" s="94"/>
      <c r="G21" s="94"/>
      <c r="H21" s="94"/>
      <c r="I21" s="95"/>
      <c r="L21" s="22"/>
      <c r="M21" s="19"/>
      <c r="N21" s="19"/>
      <c r="O21" s="19"/>
      <c r="P21" s="4"/>
    </row>
    <row r="22" spans="1:16" x14ac:dyDescent="0.25">
      <c r="A22" s="94"/>
      <c r="B22" s="94"/>
      <c r="C22" s="94"/>
      <c r="D22" s="94"/>
      <c r="E22" s="94"/>
      <c r="F22" s="94"/>
      <c r="G22" s="94"/>
      <c r="H22" s="94"/>
      <c r="I22" s="95"/>
      <c r="L22" s="22"/>
      <c r="M22" s="19"/>
      <c r="N22" s="19"/>
      <c r="O22" s="19"/>
      <c r="P22" s="4"/>
    </row>
    <row r="23" spans="1:16" ht="23.25" customHeight="1" x14ac:dyDescent="0.25">
      <c r="A23" s="94"/>
      <c r="B23" s="94"/>
      <c r="C23" s="94"/>
      <c r="D23" s="94"/>
      <c r="E23" s="94"/>
      <c r="F23" s="94"/>
      <c r="G23" s="94"/>
      <c r="H23" s="94"/>
      <c r="I23" s="95"/>
      <c r="L23" s="22"/>
      <c r="M23" s="19"/>
      <c r="N23" s="19"/>
      <c r="O23" s="19"/>
    </row>
    <row r="24" spans="1:16" ht="14.25" customHeight="1" x14ac:dyDescent="0.35">
      <c r="A24" s="24"/>
      <c r="B24" s="25"/>
      <c r="C24" s="25"/>
      <c r="D24" s="26"/>
      <c r="E24" s="96" t="s">
        <v>47</v>
      </c>
      <c r="F24" s="97"/>
      <c r="G24" s="97"/>
      <c r="H24" s="97"/>
      <c r="I24" s="97"/>
    </row>
    <row r="25" spans="1:16" ht="15.5" x14ac:dyDescent="0.35">
      <c r="A25" s="24"/>
      <c r="B25" s="25"/>
      <c r="C25" s="25"/>
      <c r="D25" s="27"/>
      <c r="E25" s="97"/>
      <c r="F25" s="97"/>
      <c r="G25" s="97"/>
      <c r="H25" s="97"/>
      <c r="I25" s="97"/>
    </row>
    <row r="26" spans="1:16" ht="31.5" customHeight="1" x14ac:dyDescent="0.35">
      <c r="A26" s="24"/>
      <c r="B26" s="25"/>
      <c r="C26" s="25"/>
      <c r="D26" s="27"/>
      <c r="E26" s="97"/>
      <c r="F26" s="97"/>
      <c r="G26" s="97"/>
      <c r="H26" s="97"/>
      <c r="I26" s="97"/>
    </row>
  </sheetData>
  <mergeCells count="27">
    <mergeCell ref="B12:C12"/>
    <mergeCell ref="B13:C13"/>
    <mergeCell ref="A20:I23"/>
    <mergeCell ref="E24:I26"/>
    <mergeCell ref="B14:C14"/>
    <mergeCell ref="B15:C15"/>
    <mergeCell ref="B16:C16"/>
    <mergeCell ref="B17:C17"/>
    <mergeCell ref="A18:C18"/>
    <mergeCell ref="A19:I19"/>
    <mergeCell ref="B7:C7"/>
    <mergeCell ref="B8:C8"/>
    <mergeCell ref="B9:C9"/>
    <mergeCell ref="B10:C10"/>
    <mergeCell ref="B11:C11"/>
    <mergeCell ref="A5:C5"/>
    <mergeCell ref="E5:G5"/>
    <mergeCell ref="H5:I5"/>
    <mergeCell ref="A6:C6"/>
    <mergeCell ref="E6:G6"/>
    <mergeCell ref="A1:I1"/>
    <mergeCell ref="A2:I2"/>
    <mergeCell ref="A3:C3"/>
    <mergeCell ref="D3:I3"/>
    <mergeCell ref="A4:C4"/>
    <mergeCell ref="E4:G4"/>
    <mergeCell ref="H4:I4"/>
  </mergeCells>
  <phoneticPr fontId="29" type="noConversion"/>
  <pageMargins left="0.7" right="0.7" top="0.75" bottom="0.75" header="0.3" footer="0.3"/>
  <pageSetup paperSize="9" scale="8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ENQUIRY</vt:lpstr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ATIF BAIG</dc:creator>
  <cp:lastModifiedBy>lin yu</cp:lastModifiedBy>
  <cp:lastPrinted>2025-02-22T03:59:34Z</cp:lastPrinted>
  <dcterms:created xsi:type="dcterms:W3CDTF">2008-06-18T18:57:16Z</dcterms:created>
  <dcterms:modified xsi:type="dcterms:W3CDTF">2026-05-27T05:47:21Z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ABD4624F297E4D39A74AA36162D8A03D</vt:lpwstr>
  </property>
  <property fmtid="{D5CDD505-2E9C-101B-9397-08002B2CF9AE}" pid="4" name="CalculationRule">
    <vt:r8>0</vt:r8>
  </property>
</Properties>
</file>